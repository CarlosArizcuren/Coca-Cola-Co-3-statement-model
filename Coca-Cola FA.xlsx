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eusto-my.sharepoint.com/personal/carlos_arizcuren_opendeusto_es/Documents/Valoración de Empresas/"/>
    </mc:Choice>
  </mc:AlternateContent>
  <xr:revisionPtr revIDLastSave="665" documentId="13_ncr:1_{96FA12D6-4283-4C2C-ABD9-0ADA306035D6}" xr6:coauthVersionLast="47" xr6:coauthVersionMax="47" xr10:uidLastSave="{C292A9F7-70F4-4E34-9FC1-600EBFF099B6}"/>
  <bookViews>
    <workbookView xWindow="-120" yWindow="-120" windowWidth="38640" windowHeight="21840" tabRatio="712" activeTab="9" xr2:uid="{00000000-000D-0000-FFFF-FFFF00000000}"/>
  </bookViews>
  <sheets>
    <sheet name="Cover" sheetId="1" r:id="rId1"/>
    <sheet name="Drivers" sheetId="2" r:id="rId2"/>
    <sheet name="Debt" sheetId="3" r:id="rId3"/>
    <sheet name="IS" sheetId="4" r:id="rId4"/>
    <sheet name="CF" sheetId="5" r:id="rId5"/>
    <sheet name="BS" sheetId="6" r:id="rId6"/>
    <sheet name="WACC" sheetId="7" r:id="rId7"/>
    <sheet name="DCF + DDM" sheetId="8" r:id="rId8"/>
    <sheet name="Sensitivity" sheetId="9" r:id="rId9"/>
    <sheet name="FootBall Field and Ratios" sheetId="10" r:id="rId10"/>
    <sheet name="General" sheetId="11" r:id="rId11"/>
    <sheet name="Ratios" sheetId="12" r:id="rId12"/>
    <sheet name="CR" sheetId="13" r:id="rId13"/>
    <sheet name="Balance Sheet" sheetId="14" r:id="rId14"/>
    <sheet name="FC" sheetId="15" r:id="rId15"/>
    <sheet name="MODL" sheetId="16" r:id="rId16"/>
    <sheet name="RV" sheetId="17" r:id="rId17"/>
  </sheets>
  <definedNames>
    <definedName name="_xlchart.v1.0" hidden="1">'DCF + DDM'!$B$42</definedName>
    <definedName name="_xlchart.v1.1" hidden="1">'DCF + DDM'!$R$35:$R$37</definedName>
    <definedName name="_xlchart.v1.2" hidden="1">'DCF + DDM'!$S$35:$S$37</definedName>
    <definedName name="_xlchart.v1.3" hidden="1">'DCF + DDM'!$B$41</definedName>
    <definedName name="_xlchart.v1.4" hidden="1">'DCF + DDM'!$R$30:$R$32</definedName>
    <definedName name="_xlchart.v1.5" hidden="1">'DCF + DDM'!$S$30:$S$32</definedName>
    <definedName name="_xlchart.v1.6" hidden="1">'DCF + DDM'!$R$26:$R$28</definedName>
    <definedName name="_xlchart.v1.7" hidden="1">'DCF + DDM'!$S$26:$S$28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4" i="10" l="1"/>
  <c r="W4" i="10"/>
  <c r="X4" i="10"/>
  <c r="Y4" i="10"/>
  <c r="V5" i="10"/>
  <c r="W5" i="10"/>
  <c r="X5" i="10"/>
  <c r="Y5" i="10"/>
  <c r="V6" i="10"/>
  <c r="W6" i="10"/>
  <c r="X6" i="10"/>
  <c r="Y6" i="10"/>
  <c r="V15" i="10"/>
  <c r="V16" i="10"/>
  <c r="V17" i="10"/>
  <c r="V7" i="10" s="1"/>
  <c r="V18" i="10"/>
  <c r="W7" i="10" s="1"/>
  <c r="V19" i="10"/>
  <c r="X7" i="10" s="1"/>
  <c r="V20" i="10"/>
  <c r="V21" i="10"/>
  <c r="V22" i="10"/>
  <c r="G131" i="2" a="1"/>
  <c r="H131" i="2" s="1"/>
  <c r="I131" i="2" s="1"/>
  <c r="J131" i="2" s="1"/>
  <c r="K131" i="2" s="1"/>
  <c r="L131" i="2" s="1"/>
  <c r="M131" i="2" s="1"/>
  <c r="N131" i="2" s="1"/>
  <c r="O131" i="2" s="1"/>
  <c r="P131" i="2" s="1"/>
  <c r="Q131" i="2" s="1"/>
  <c r="D46" i="3"/>
  <c r="C46" i="3"/>
  <c r="Q36" i="10"/>
  <c r="P36" i="10"/>
  <c r="O36" i="10"/>
  <c r="N36" i="10"/>
  <c r="M36" i="10"/>
  <c r="L36" i="10"/>
  <c r="K36" i="10"/>
  <c r="J36" i="10"/>
  <c r="I36" i="10"/>
  <c r="H36" i="10"/>
  <c r="G36" i="10"/>
  <c r="F36" i="10"/>
  <c r="E36" i="10"/>
  <c r="D36" i="10"/>
  <c r="C36" i="10"/>
  <c r="G20" i="10"/>
  <c r="F20" i="10"/>
  <c r="E20" i="10"/>
  <c r="D20" i="10"/>
  <c r="C20" i="10"/>
  <c r="G17" i="10"/>
  <c r="F17" i="10"/>
  <c r="E17" i="10"/>
  <c r="D17" i="10"/>
  <c r="C17" i="10"/>
  <c r="G14" i="10"/>
  <c r="F14" i="10"/>
  <c r="E14" i="10"/>
  <c r="D14" i="10"/>
  <c r="R14" i="10" s="1"/>
  <c r="C14" i="10"/>
  <c r="G11" i="10"/>
  <c r="F11" i="10"/>
  <c r="E11" i="10"/>
  <c r="D11" i="10"/>
  <c r="R11" i="10" s="1"/>
  <c r="C11" i="10"/>
  <c r="G10" i="10"/>
  <c r="F10" i="10"/>
  <c r="E10" i="10"/>
  <c r="D10" i="10"/>
  <c r="C10" i="10"/>
  <c r="R10" i="10" s="1"/>
  <c r="S33" i="10"/>
  <c r="S28" i="10"/>
  <c r="S27" i="10"/>
  <c r="S26" i="10"/>
  <c r="R35" i="10"/>
  <c r="R34" i="10"/>
  <c r="R33" i="10"/>
  <c r="R28" i="10"/>
  <c r="R27" i="10"/>
  <c r="R26" i="10"/>
  <c r="R23" i="10"/>
  <c r="G35" i="10"/>
  <c r="F35" i="10"/>
  <c r="E35" i="10"/>
  <c r="D35" i="10"/>
  <c r="G34" i="10"/>
  <c r="F34" i="10"/>
  <c r="E34" i="10"/>
  <c r="D34" i="10"/>
  <c r="Q33" i="10"/>
  <c r="P33" i="10"/>
  <c r="O33" i="10"/>
  <c r="N33" i="10"/>
  <c r="M33" i="10"/>
  <c r="L33" i="10"/>
  <c r="K33" i="10"/>
  <c r="J33" i="10"/>
  <c r="I33" i="10"/>
  <c r="H33" i="10"/>
  <c r="G33" i="10"/>
  <c r="F33" i="10"/>
  <c r="E33" i="10"/>
  <c r="D33" i="10"/>
  <c r="Q29" i="10"/>
  <c r="P29" i="10"/>
  <c r="O29" i="10"/>
  <c r="N29" i="10"/>
  <c r="M29" i="10"/>
  <c r="L29" i="10"/>
  <c r="K29" i="10"/>
  <c r="J29" i="10"/>
  <c r="I29" i="10"/>
  <c r="H29" i="10"/>
  <c r="S29" i="10" s="1"/>
  <c r="G29" i="10"/>
  <c r="F29" i="10"/>
  <c r="E29" i="10"/>
  <c r="D29" i="10"/>
  <c r="Q28" i="10"/>
  <c r="P28" i="10"/>
  <c r="O28" i="10"/>
  <c r="N28" i="10"/>
  <c r="M28" i="10"/>
  <c r="L28" i="10"/>
  <c r="K28" i="10"/>
  <c r="J28" i="10"/>
  <c r="I28" i="10"/>
  <c r="H28" i="10"/>
  <c r="G28" i="10"/>
  <c r="F28" i="10"/>
  <c r="E28" i="10"/>
  <c r="D28" i="10"/>
  <c r="Q27" i="10"/>
  <c r="P27" i="10"/>
  <c r="O27" i="10"/>
  <c r="N27" i="10"/>
  <c r="M27" i="10"/>
  <c r="L27" i="10"/>
  <c r="K27" i="10"/>
  <c r="J27" i="10"/>
  <c r="I27" i="10"/>
  <c r="H27" i="10"/>
  <c r="G27" i="10"/>
  <c r="F27" i="10"/>
  <c r="E27" i="10"/>
  <c r="D27" i="10"/>
  <c r="Q26" i="10"/>
  <c r="P26" i="10"/>
  <c r="O26" i="10"/>
  <c r="N26" i="10"/>
  <c r="M26" i="10"/>
  <c r="L26" i="10"/>
  <c r="K26" i="10"/>
  <c r="J26" i="10"/>
  <c r="I26" i="10"/>
  <c r="H26" i="10"/>
  <c r="G26" i="10"/>
  <c r="F26" i="10"/>
  <c r="E26" i="10"/>
  <c r="D26" i="10"/>
  <c r="G23" i="10"/>
  <c r="F23" i="10"/>
  <c r="E23" i="10"/>
  <c r="D23" i="10"/>
  <c r="C35" i="10"/>
  <c r="C34" i="10"/>
  <c r="C33" i="10"/>
  <c r="C29" i="10"/>
  <c r="R29" i="10" s="1"/>
  <c r="C28" i="10"/>
  <c r="C27" i="10"/>
  <c r="C26" i="10"/>
  <c r="C23" i="10"/>
  <c r="D24" i="10"/>
  <c r="E24" i="10"/>
  <c r="F24" i="10"/>
  <c r="G24" i="10"/>
  <c r="D25" i="10"/>
  <c r="E25" i="10"/>
  <c r="F25" i="10"/>
  <c r="G25" i="10"/>
  <c r="D32" i="10"/>
  <c r="E32" i="10"/>
  <c r="F32" i="10"/>
  <c r="G32" i="10"/>
  <c r="H32" i="10"/>
  <c r="I32" i="10"/>
  <c r="J32" i="10"/>
  <c r="K32" i="10"/>
  <c r="L32" i="10"/>
  <c r="M32" i="10"/>
  <c r="N32" i="10"/>
  <c r="O32" i="10"/>
  <c r="P32" i="10"/>
  <c r="Q32" i="10"/>
  <c r="S36" i="10"/>
  <c r="C32" i="10"/>
  <c r="C25" i="10"/>
  <c r="C24" i="10"/>
  <c r="R36" i="10"/>
  <c r="R24" i="10"/>
  <c r="R25" i="10"/>
  <c r="R20" i="10"/>
  <c r="S32" i="10"/>
  <c r="R32" i="10"/>
  <c r="D12" i="10"/>
  <c r="E12" i="10"/>
  <c r="F12" i="10"/>
  <c r="G12" i="10"/>
  <c r="D13" i="10"/>
  <c r="E13" i="10"/>
  <c r="F13" i="10"/>
  <c r="G13" i="10"/>
  <c r="C12" i="10"/>
  <c r="R12" i="10"/>
  <c r="C13" i="10"/>
  <c r="R13" i="10" s="1"/>
  <c r="D4" i="10"/>
  <c r="E4" i="10"/>
  <c r="F4" i="10"/>
  <c r="G4" i="10"/>
  <c r="H4" i="10"/>
  <c r="I4" i="10"/>
  <c r="J4" i="10"/>
  <c r="K4" i="10"/>
  <c r="L4" i="10"/>
  <c r="M4" i="10"/>
  <c r="N4" i="10"/>
  <c r="O4" i="10"/>
  <c r="P4" i="10"/>
  <c r="Q4" i="10"/>
  <c r="D5" i="10"/>
  <c r="E5" i="10"/>
  <c r="F5" i="10"/>
  <c r="G5" i="10"/>
  <c r="H5" i="10"/>
  <c r="I5" i="10"/>
  <c r="J5" i="10"/>
  <c r="K5" i="10"/>
  <c r="L5" i="10"/>
  <c r="M5" i="10"/>
  <c r="N5" i="10"/>
  <c r="O5" i="10"/>
  <c r="P5" i="10"/>
  <c r="Q5" i="10"/>
  <c r="D6" i="10"/>
  <c r="E6" i="10"/>
  <c r="F6" i="10"/>
  <c r="G6" i="10"/>
  <c r="D7" i="10"/>
  <c r="E7" i="10"/>
  <c r="F7" i="10"/>
  <c r="G7" i="10"/>
  <c r="C7" i="10"/>
  <c r="R7" i="10" s="1"/>
  <c r="C6" i="10"/>
  <c r="R6" i="10" s="1"/>
  <c r="C5" i="10"/>
  <c r="R5" i="10" s="1"/>
  <c r="C4" i="10"/>
  <c r="R4" i="10" s="1"/>
  <c r="D28" i="7" a="1"/>
  <c r="F33" i="9"/>
  <c r="E33" i="9" s="1"/>
  <c r="D33" i="9" s="1"/>
  <c r="H33" i="9"/>
  <c r="I33" i="9" s="1"/>
  <c r="J33" i="9" s="1"/>
  <c r="E5" i="9"/>
  <c r="D5" i="9" s="1"/>
  <c r="F5" i="9"/>
  <c r="E19" i="9"/>
  <c r="D19" i="9" s="1"/>
  <c r="F19" i="9"/>
  <c r="I19" i="9"/>
  <c r="J19" i="9"/>
  <c r="H19" i="9"/>
  <c r="H5" i="9"/>
  <c r="I5" i="9" s="1"/>
  <c r="J5" i="9" s="1"/>
  <c r="G33" i="9"/>
  <c r="G19" i="9"/>
  <c r="G5" i="9"/>
  <c r="D44" i="8" a="1"/>
  <c r="V25" i="10" s="1"/>
  <c r="N38" i="16"/>
  <c r="N37" i="16"/>
  <c r="G36" i="16"/>
  <c r="N35" i="16"/>
  <c r="N34" i="16"/>
  <c r="H36" i="8"/>
  <c r="B9" i="8"/>
  <c r="B8" i="8"/>
  <c r="B7" i="8"/>
  <c r="F5" i="8"/>
  <c r="E5" i="8"/>
  <c r="D5" i="8"/>
  <c r="C5" i="8"/>
  <c r="B5" i="8"/>
  <c r="G4" i="8"/>
  <c r="F4" i="8"/>
  <c r="E4" i="8"/>
  <c r="D4" i="8"/>
  <c r="C4" i="8"/>
  <c r="B4" i="8"/>
  <c r="D13" i="7"/>
  <c r="H12" i="7"/>
  <c r="H11" i="7"/>
  <c r="H10" i="7"/>
  <c r="H9" i="7"/>
  <c r="L8" i="7"/>
  <c r="K8" i="7"/>
  <c r="L7" i="7"/>
  <c r="K7" i="7"/>
  <c r="L6" i="7"/>
  <c r="K6" i="7"/>
  <c r="L5" i="7"/>
  <c r="K5" i="7"/>
  <c r="L4" i="7"/>
  <c r="K4" i="7"/>
  <c r="G44" i="6"/>
  <c r="F44" i="6"/>
  <c r="E44" i="6"/>
  <c r="D44" i="6"/>
  <c r="C44" i="6"/>
  <c r="G43" i="6"/>
  <c r="F43" i="6"/>
  <c r="E43" i="6"/>
  <c r="D43" i="6"/>
  <c r="C43" i="6"/>
  <c r="G42" i="6"/>
  <c r="F42" i="6"/>
  <c r="E42" i="6"/>
  <c r="D42" i="6"/>
  <c r="C42" i="6"/>
  <c r="G41" i="6"/>
  <c r="F41" i="6"/>
  <c r="E41" i="6"/>
  <c r="D41" i="6"/>
  <c r="C41" i="6"/>
  <c r="G40" i="6"/>
  <c r="F40" i="6"/>
  <c r="E40" i="6"/>
  <c r="D40" i="6"/>
  <c r="C40" i="6"/>
  <c r="G36" i="6"/>
  <c r="G46" i="6" s="1"/>
  <c r="F36" i="6"/>
  <c r="F46" i="6" s="1"/>
  <c r="E36" i="6"/>
  <c r="E46" i="6" s="1"/>
  <c r="D36" i="6"/>
  <c r="D46" i="6" s="1"/>
  <c r="C36" i="6"/>
  <c r="C46" i="6" s="1"/>
  <c r="G34" i="6"/>
  <c r="F34" i="6"/>
  <c r="E34" i="6"/>
  <c r="D34" i="6"/>
  <c r="C34" i="6"/>
  <c r="G32" i="6"/>
  <c r="F32" i="6"/>
  <c r="E32" i="6"/>
  <c r="D32" i="6"/>
  <c r="C32" i="6"/>
  <c r="G31" i="6"/>
  <c r="F31" i="6"/>
  <c r="E31" i="6"/>
  <c r="D31" i="6"/>
  <c r="C31" i="6"/>
  <c r="Q30" i="6"/>
  <c r="P30" i="6"/>
  <c r="O30" i="6"/>
  <c r="N30" i="6"/>
  <c r="M30" i="6"/>
  <c r="L30" i="6"/>
  <c r="K30" i="6"/>
  <c r="J30" i="6"/>
  <c r="I30" i="6"/>
  <c r="H30" i="6"/>
  <c r="G30" i="6"/>
  <c r="F30" i="6"/>
  <c r="E30" i="6"/>
  <c r="D30" i="6"/>
  <c r="C30" i="6"/>
  <c r="G28" i="6"/>
  <c r="G33" i="6" s="1"/>
  <c r="F28" i="6"/>
  <c r="F33" i="6" s="1"/>
  <c r="E28" i="6"/>
  <c r="E33" i="6" s="1"/>
  <c r="D28" i="6"/>
  <c r="D33" i="6" s="1"/>
  <c r="C28" i="6"/>
  <c r="C33" i="6" s="1"/>
  <c r="Q27" i="6"/>
  <c r="P27" i="6"/>
  <c r="O27" i="6"/>
  <c r="N27" i="6"/>
  <c r="M27" i="6"/>
  <c r="L27" i="6"/>
  <c r="K27" i="6"/>
  <c r="J27" i="6"/>
  <c r="I27" i="6"/>
  <c r="H27" i="6"/>
  <c r="G27" i="6"/>
  <c r="D31" i="8" s="1"/>
  <c r="F27" i="6"/>
  <c r="E27" i="6"/>
  <c r="D27" i="6"/>
  <c r="C27" i="6"/>
  <c r="G26" i="6"/>
  <c r="F26" i="6"/>
  <c r="E26" i="6"/>
  <c r="D26" i="6"/>
  <c r="C26" i="6"/>
  <c r="G25" i="6"/>
  <c r="F25" i="6"/>
  <c r="E25" i="6"/>
  <c r="D25" i="6"/>
  <c r="C25" i="6"/>
  <c r="G24" i="6"/>
  <c r="F24" i="6"/>
  <c r="E24" i="6"/>
  <c r="D24" i="6"/>
  <c r="C24" i="6"/>
  <c r="G15" i="6"/>
  <c r="H15" i="6" s="1"/>
  <c r="I15" i="6" s="1"/>
  <c r="J15" i="6" s="1"/>
  <c r="K15" i="6" s="1"/>
  <c r="L15" i="6" s="1"/>
  <c r="M15" i="6" s="1"/>
  <c r="N15" i="6" s="1"/>
  <c r="O15" i="6" s="1"/>
  <c r="P15" i="6" s="1"/>
  <c r="Q15" i="6" s="1"/>
  <c r="F15" i="6"/>
  <c r="E15" i="6"/>
  <c r="D15" i="6"/>
  <c r="C15" i="6"/>
  <c r="G14" i="6"/>
  <c r="F14" i="6"/>
  <c r="E14" i="6"/>
  <c r="D14" i="6"/>
  <c r="C14" i="6"/>
  <c r="F12" i="6"/>
  <c r="E12" i="6"/>
  <c r="D12" i="6"/>
  <c r="C12" i="6"/>
  <c r="G11" i="6"/>
  <c r="F11" i="6"/>
  <c r="E11" i="6"/>
  <c r="D11" i="6"/>
  <c r="C11" i="6"/>
  <c r="G10" i="6"/>
  <c r="F10" i="6"/>
  <c r="E10" i="6"/>
  <c r="D10" i="6"/>
  <c r="C10" i="6"/>
  <c r="G9" i="6"/>
  <c r="F9" i="6"/>
  <c r="E9" i="6"/>
  <c r="D9" i="6"/>
  <c r="C9" i="6"/>
  <c r="G8" i="6"/>
  <c r="H8" i="6" s="1"/>
  <c r="I8" i="6" s="1"/>
  <c r="J8" i="6" s="1"/>
  <c r="K8" i="6" s="1"/>
  <c r="L8" i="6" s="1"/>
  <c r="M8" i="6" s="1"/>
  <c r="N8" i="6" s="1"/>
  <c r="O8" i="6" s="1"/>
  <c r="P8" i="6" s="1"/>
  <c r="Q8" i="6" s="1"/>
  <c r="F8" i="6"/>
  <c r="E8" i="6"/>
  <c r="D8" i="6"/>
  <c r="C8" i="6"/>
  <c r="G7" i="6"/>
  <c r="D34" i="8" s="1"/>
  <c r="F7" i="6"/>
  <c r="E7" i="6"/>
  <c r="D7" i="6"/>
  <c r="C7" i="6"/>
  <c r="G62" i="4"/>
  <c r="F62" i="4"/>
  <c r="E62" i="4"/>
  <c r="D62" i="4"/>
  <c r="C62" i="4"/>
  <c r="G61" i="4"/>
  <c r="F61" i="4"/>
  <c r="E61" i="4"/>
  <c r="D61" i="4"/>
  <c r="C61" i="4"/>
  <c r="G58" i="4"/>
  <c r="D38" i="8" s="1"/>
  <c r="F58" i="4"/>
  <c r="E58" i="4"/>
  <c r="D58" i="4"/>
  <c r="C58" i="4"/>
  <c r="G55" i="4"/>
  <c r="F55" i="4"/>
  <c r="E55" i="4"/>
  <c r="D55" i="4"/>
  <c r="C55" i="4"/>
  <c r="G49" i="4"/>
  <c r="F49" i="4"/>
  <c r="E49" i="4"/>
  <c r="D49" i="4"/>
  <c r="C49" i="4"/>
  <c r="G46" i="4"/>
  <c r="F46" i="4"/>
  <c r="E46" i="4"/>
  <c r="D46" i="4"/>
  <c r="C46" i="4"/>
  <c r="G43" i="4"/>
  <c r="G44" i="4" s="1"/>
  <c r="F43" i="4"/>
  <c r="F44" i="4" s="1"/>
  <c r="E43" i="4"/>
  <c r="E44" i="4" s="1"/>
  <c r="D43" i="4"/>
  <c r="D44" i="4" s="1"/>
  <c r="C43" i="4"/>
  <c r="C44" i="4" s="1"/>
  <c r="G41" i="4"/>
  <c r="F41" i="4"/>
  <c r="E41" i="4"/>
  <c r="D41" i="4"/>
  <c r="C41" i="4"/>
  <c r="G39" i="4"/>
  <c r="F39" i="4"/>
  <c r="E39" i="4"/>
  <c r="D39" i="4"/>
  <c r="C39" i="4"/>
  <c r="G36" i="4"/>
  <c r="F36" i="4"/>
  <c r="E36" i="4"/>
  <c r="D36" i="4"/>
  <c r="C36" i="4"/>
  <c r="G35" i="4"/>
  <c r="F35" i="4"/>
  <c r="E35" i="4"/>
  <c r="D35" i="4"/>
  <c r="C35" i="4"/>
  <c r="G33" i="4"/>
  <c r="F33" i="4"/>
  <c r="E33" i="4"/>
  <c r="D33" i="4"/>
  <c r="C33" i="4"/>
  <c r="G32" i="4"/>
  <c r="F32" i="4"/>
  <c r="E32" i="4"/>
  <c r="D32" i="4"/>
  <c r="C32" i="4"/>
  <c r="G31" i="4"/>
  <c r="F31" i="4"/>
  <c r="E31" i="4"/>
  <c r="D31" i="4"/>
  <c r="C31" i="4"/>
  <c r="G30" i="4"/>
  <c r="F30" i="4"/>
  <c r="E30" i="4"/>
  <c r="D30" i="4"/>
  <c r="C30" i="4"/>
  <c r="G27" i="4"/>
  <c r="F27" i="4"/>
  <c r="E27" i="4"/>
  <c r="D27" i="4"/>
  <c r="C27" i="4"/>
  <c r="G21" i="4"/>
  <c r="G22" i="4" s="1"/>
  <c r="F21" i="4"/>
  <c r="F22" i="4" s="1"/>
  <c r="E21" i="4"/>
  <c r="E22" i="4" s="1"/>
  <c r="D21" i="4"/>
  <c r="D22" i="4" s="1"/>
  <c r="C21" i="4"/>
  <c r="C22" i="4" s="1"/>
  <c r="G18" i="4"/>
  <c r="G19" i="4" s="1"/>
  <c r="F18" i="4"/>
  <c r="F19" i="4" s="1"/>
  <c r="E18" i="4"/>
  <c r="E19" i="4" s="1"/>
  <c r="D18" i="4"/>
  <c r="D19" i="4" s="1"/>
  <c r="C18" i="4"/>
  <c r="C19" i="4" s="1"/>
  <c r="L14" i="4"/>
  <c r="M14" i="4" s="1"/>
  <c r="N14" i="4" s="1"/>
  <c r="O14" i="4" s="1"/>
  <c r="P14" i="4" s="1"/>
  <c r="Q14" i="4" s="1"/>
  <c r="K14" i="4"/>
  <c r="J14" i="4"/>
  <c r="I14" i="4"/>
  <c r="H14" i="4"/>
  <c r="Q13" i="4"/>
  <c r="P13" i="4"/>
  <c r="O13" i="4"/>
  <c r="N13" i="4"/>
  <c r="M13" i="4"/>
  <c r="L13" i="4"/>
  <c r="K13" i="4"/>
  <c r="J13" i="4"/>
  <c r="I13" i="4"/>
  <c r="H13" i="4"/>
  <c r="H12" i="4"/>
  <c r="I12" i="4" s="1"/>
  <c r="J12" i="4" s="1"/>
  <c r="K12" i="4" s="1"/>
  <c r="L12" i="4" s="1"/>
  <c r="M12" i="4" s="1"/>
  <c r="N12" i="4" s="1"/>
  <c r="O12" i="4" s="1"/>
  <c r="P12" i="4" s="1"/>
  <c r="Q12" i="4" s="1"/>
  <c r="Q11" i="4"/>
  <c r="P11" i="4"/>
  <c r="O11" i="4"/>
  <c r="N11" i="4"/>
  <c r="M11" i="4"/>
  <c r="L11" i="4"/>
  <c r="K11" i="4"/>
  <c r="J11" i="4"/>
  <c r="I11" i="4"/>
  <c r="H11" i="4"/>
  <c r="H10" i="4"/>
  <c r="I10" i="4" s="1"/>
  <c r="J10" i="4" s="1"/>
  <c r="K10" i="4" s="1"/>
  <c r="L10" i="4" s="1"/>
  <c r="M10" i="4" s="1"/>
  <c r="N10" i="4" s="1"/>
  <c r="O10" i="4" s="1"/>
  <c r="P10" i="4" s="1"/>
  <c r="Q10" i="4" s="1"/>
  <c r="K9" i="4"/>
  <c r="J9" i="4"/>
  <c r="I9" i="4"/>
  <c r="H9" i="4"/>
  <c r="H8" i="4"/>
  <c r="I8" i="4" s="1"/>
  <c r="J8" i="4" s="1"/>
  <c r="K8" i="4" s="1"/>
  <c r="L8" i="4" s="1"/>
  <c r="Q7" i="4"/>
  <c r="P7" i="4"/>
  <c r="O7" i="4"/>
  <c r="N7" i="4"/>
  <c r="M7" i="4"/>
  <c r="L7" i="4"/>
  <c r="K7" i="4"/>
  <c r="J7" i="4"/>
  <c r="I7" i="4"/>
  <c r="H7" i="4"/>
  <c r="H6" i="4"/>
  <c r="I6" i="4" s="1"/>
  <c r="H5" i="4"/>
  <c r="G5" i="4"/>
  <c r="G16" i="4" s="1"/>
  <c r="F5" i="4"/>
  <c r="F16" i="4" s="1"/>
  <c r="E5" i="4"/>
  <c r="E16" i="4" s="1"/>
  <c r="D5" i="4"/>
  <c r="D16" i="4" s="1"/>
  <c r="C5" i="4"/>
  <c r="C16" i="4" s="1"/>
  <c r="M44" i="3"/>
  <c r="G44" i="3"/>
  <c r="F44" i="3"/>
  <c r="E44" i="3"/>
  <c r="D44" i="3"/>
  <c r="C44" i="3"/>
  <c r="D35" i="3"/>
  <c r="D37" i="3" s="1"/>
  <c r="C23" i="3"/>
  <c r="C14" i="3"/>
  <c r="C7" i="3"/>
  <c r="C148" i="2"/>
  <c r="D14" i="3" s="1"/>
  <c r="H142" i="2"/>
  <c r="Q139" i="2"/>
  <c r="L40" i="3" s="1"/>
  <c r="P139" i="2"/>
  <c r="K40" i="3" s="1"/>
  <c r="O139" i="2"/>
  <c r="J40" i="3" s="1"/>
  <c r="N139" i="2"/>
  <c r="I40" i="3" s="1"/>
  <c r="M139" i="2"/>
  <c r="H40" i="3" s="1"/>
  <c r="L139" i="2"/>
  <c r="G40" i="3" s="1"/>
  <c r="K139" i="2"/>
  <c r="F40" i="3" s="1"/>
  <c r="J139" i="2"/>
  <c r="E40" i="3" s="1"/>
  <c r="I139" i="2"/>
  <c r="D40" i="3" s="1"/>
  <c r="H139" i="2"/>
  <c r="C40" i="3" s="1"/>
  <c r="Q138" i="2"/>
  <c r="P138" i="2"/>
  <c r="O138" i="2"/>
  <c r="N138" i="2"/>
  <c r="M138" i="2"/>
  <c r="L138" i="2"/>
  <c r="K138" i="2"/>
  <c r="J138" i="2"/>
  <c r="I138" i="2"/>
  <c r="H138" i="2"/>
  <c r="Q136" i="2"/>
  <c r="P136" i="2"/>
  <c r="O136" i="2"/>
  <c r="N136" i="2"/>
  <c r="M136" i="2"/>
  <c r="L136" i="2"/>
  <c r="K136" i="2"/>
  <c r="J136" i="2"/>
  <c r="I136" i="2"/>
  <c r="H136" i="2"/>
  <c r="H130" i="2"/>
  <c r="G129" i="2"/>
  <c r="F129" i="2"/>
  <c r="E129" i="2"/>
  <c r="D129" i="2"/>
  <c r="C129" i="2"/>
  <c r="G126" i="2"/>
  <c r="F126" i="2"/>
  <c r="E126" i="2"/>
  <c r="D126" i="2"/>
  <c r="C126" i="2"/>
  <c r="G124" i="2"/>
  <c r="F124" i="2"/>
  <c r="E124" i="2"/>
  <c r="D124" i="2"/>
  <c r="C124" i="2"/>
  <c r="G122" i="2"/>
  <c r="F122" i="2"/>
  <c r="E122" i="2"/>
  <c r="D122" i="2"/>
  <c r="C122" i="2"/>
  <c r="G114" i="2"/>
  <c r="F114" i="2"/>
  <c r="E114" i="2"/>
  <c r="D114" i="2"/>
  <c r="C114" i="2"/>
  <c r="G104" i="2"/>
  <c r="F104" i="2"/>
  <c r="E104" i="2"/>
  <c r="D104" i="2"/>
  <c r="C104" i="2"/>
  <c r="G98" i="2"/>
  <c r="F98" i="2"/>
  <c r="E98" i="2"/>
  <c r="D98" i="2"/>
  <c r="C98" i="2"/>
  <c r="G92" i="2"/>
  <c r="F92" i="2"/>
  <c r="E92" i="2"/>
  <c r="D92" i="2"/>
  <c r="C92" i="2"/>
  <c r="Q88" i="2"/>
  <c r="P88" i="2"/>
  <c r="O88" i="2"/>
  <c r="N88" i="2"/>
  <c r="M88" i="2"/>
  <c r="L88" i="2"/>
  <c r="K88" i="2"/>
  <c r="J88" i="2"/>
  <c r="I88" i="2"/>
  <c r="H88" i="2"/>
  <c r="Q87" i="2"/>
  <c r="P87" i="2"/>
  <c r="O87" i="2"/>
  <c r="N87" i="2"/>
  <c r="M87" i="2"/>
  <c r="L87" i="2"/>
  <c r="K87" i="2"/>
  <c r="J87" i="2"/>
  <c r="G86" i="2"/>
  <c r="F86" i="2"/>
  <c r="E86" i="2"/>
  <c r="D86" i="2"/>
  <c r="C86" i="2"/>
  <c r="G80" i="2"/>
  <c r="F80" i="2"/>
  <c r="E80" i="2"/>
  <c r="D80" i="2"/>
  <c r="C80" i="2"/>
  <c r="G74" i="2"/>
  <c r="F74" i="2"/>
  <c r="E74" i="2"/>
  <c r="D74" i="2"/>
  <c r="C74" i="2"/>
  <c r="G64" i="2"/>
  <c r="F64" i="2"/>
  <c r="E64" i="2"/>
  <c r="D64" i="2"/>
  <c r="C64" i="2"/>
  <c r="G61" i="2"/>
  <c r="G5" i="8" s="1"/>
  <c r="F61" i="2"/>
  <c r="E61" i="2"/>
  <c r="D61" i="2"/>
  <c r="C61" i="2"/>
  <c r="G54" i="2"/>
  <c r="F54" i="2"/>
  <c r="E54" i="2"/>
  <c r="D54" i="2"/>
  <c r="C54" i="2"/>
  <c r="Q47" i="2"/>
  <c r="P47" i="2"/>
  <c r="O47" i="2"/>
  <c r="N47" i="2"/>
  <c r="M47" i="2"/>
  <c r="L47" i="2"/>
  <c r="K47" i="2"/>
  <c r="J47" i="2"/>
  <c r="I47" i="2"/>
  <c r="H47" i="2"/>
  <c r="Q40" i="2"/>
  <c r="P40" i="2"/>
  <c r="O40" i="2"/>
  <c r="N40" i="2"/>
  <c r="M40" i="2"/>
  <c r="L40" i="2"/>
  <c r="K40" i="2"/>
  <c r="J40" i="2"/>
  <c r="I40" i="2"/>
  <c r="H40" i="2"/>
  <c r="G33" i="2"/>
  <c r="F33" i="2"/>
  <c r="E33" i="2"/>
  <c r="D33" i="2"/>
  <c r="C33" i="2"/>
  <c r="H35" i="2" s="1"/>
  <c r="Q10" i="2"/>
  <c r="P10" i="2"/>
  <c r="O10" i="2"/>
  <c r="N10" i="2"/>
  <c r="M10" i="2"/>
  <c r="L10" i="2"/>
  <c r="K10" i="2"/>
  <c r="J10" i="2"/>
  <c r="I10" i="2"/>
  <c r="H10" i="2"/>
  <c r="Q9" i="2"/>
  <c r="P9" i="2"/>
  <c r="O9" i="2"/>
  <c r="N9" i="2"/>
  <c r="M9" i="2"/>
  <c r="L9" i="2"/>
  <c r="K9" i="2"/>
  <c r="J9" i="2"/>
  <c r="I9" i="2"/>
  <c r="H9" i="2"/>
  <c r="K8" i="2"/>
  <c r="J8" i="2"/>
  <c r="I8" i="2"/>
  <c r="H8" i="2"/>
  <c r="Q7" i="2"/>
  <c r="P7" i="2"/>
  <c r="O7" i="2"/>
  <c r="N7" i="2"/>
  <c r="M7" i="2"/>
  <c r="L7" i="2"/>
  <c r="K7" i="2"/>
  <c r="J7" i="2"/>
  <c r="I7" i="2"/>
  <c r="H7" i="2"/>
  <c r="Q6" i="2"/>
  <c r="P6" i="2"/>
  <c r="O6" i="2"/>
  <c r="N6" i="2"/>
  <c r="M6" i="2"/>
  <c r="L6" i="2"/>
  <c r="K6" i="2"/>
  <c r="J6" i="2"/>
  <c r="I6" i="2"/>
  <c r="H6" i="2"/>
  <c r="H35" i="5"/>
  <c r="G32" i="5"/>
  <c r="F32" i="5"/>
  <c r="E32" i="5"/>
  <c r="D32" i="5"/>
  <c r="C32" i="5"/>
  <c r="G31" i="5"/>
  <c r="F31" i="5"/>
  <c r="E31" i="5"/>
  <c r="D31" i="5"/>
  <c r="C31" i="5"/>
  <c r="G29" i="5"/>
  <c r="F29" i="5"/>
  <c r="E29" i="5"/>
  <c r="D29" i="5"/>
  <c r="C29" i="5"/>
  <c r="G28" i="5"/>
  <c r="F28" i="5"/>
  <c r="E28" i="5"/>
  <c r="D28" i="5"/>
  <c r="C28" i="5"/>
  <c r="G24" i="5"/>
  <c r="F24" i="5"/>
  <c r="E24" i="5"/>
  <c r="D24" i="5"/>
  <c r="C24" i="5"/>
  <c r="Q23" i="5"/>
  <c r="P23" i="5"/>
  <c r="O23" i="5"/>
  <c r="N23" i="5"/>
  <c r="M23" i="5"/>
  <c r="L23" i="5"/>
  <c r="K23" i="5"/>
  <c r="J23" i="5"/>
  <c r="I23" i="5"/>
  <c r="H23" i="5"/>
  <c r="G23" i="5"/>
  <c r="F23" i="5"/>
  <c r="E23" i="5"/>
  <c r="D23" i="5"/>
  <c r="C23" i="5"/>
  <c r="Q22" i="5"/>
  <c r="P22" i="5"/>
  <c r="O22" i="5"/>
  <c r="N22" i="5"/>
  <c r="M22" i="5"/>
  <c r="L22" i="5"/>
  <c r="K22" i="5"/>
  <c r="J22" i="5"/>
  <c r="I22" i="5"/>
  <c r="H22" i="5"/>
  <c r="G22" i="5"/>
  <c r="F22" i="5"/>
  <c r="E22" i="5"/>
  <c r="D22" i="5"/>
  <c r="C22" i="5"/>
  <c r="G21" i="5"/>
  <c r="G8" i="8" s="1"/>
  <c r="F21" i="5"/>
  <c r="F8" i="8" s="1"/>
  <c r="E21" i="5"/>
  <c r="E8" i="8" s="1"/>
  <c r="D21" i="5"/>
  <c r="D8" i="8" s="1"/>
  <c r="C21" i="5"/>
  <c r="C8" i="8" s="1"/>
  <c r="G17" i="5"/>
  <c r="F17" i="5"/>
  <c r="E17" i="5"/>
  <c r="D17" i="5"/>
  <c r="C17" i="5"/>
  <c r="G11" i="5"/>
  <c r="G9" i="8" s="1"/>
  <c r="F11" i="5"/>
  <c r="F9" i="8" s="1"/>
  <c r="E11" i="5"/>
  <c r="E9" i="8" s="1"/>
  <c r="D11" i="5"/>
  <c r="D9" i="8" s="1"/>
  <c r="C11" i="5"/>
  <c r="C9" i="8" s="1"/>
  <c r="G10" i="5"/>
  <c r="F10" i="5"/>
  <c r="E10" i="5"/>
  <c r="D10" i="5"/>
  <c r="C10" i="5"/>
  <c r="G9" i="5"/>
  <c r="F9" i="5"/>
  <c r="E9" i="5"/>
  <c r="D9" i="5"/>
  <c r="C9" i="5"/>
  <c r="G8" i="5"/>
  <c r="F8" i="5"/>
  <c r="E8" i="5"/>
  <c r="D8" i="5"/>
  <c r="C8" i="5"/>
  <c r="G7" i="5"/>
  <c r="F7" i="5"/>
  <c r="E7" i="5"/>
  <c r="D7" i="5"/>
  <c r="C7" i="5"/>
  <c r="V8" i="10" l="1"/>
  <c r="V10" i="10" s="1"/>
  <c r="W8" i="10"/>
  <c r="Z8" i="10" s="1"/>
  <c r="X8" i="10"/>
  <c r="Y8" i="10" s="1"/>
  <c r="W10" i="10"/>
  <c r="Z10" i="10" s="1"/>
  <c r="Z7" i="10"/>
  <c r="X10" i="10"/>
  <c r="Y10" i="10" s="1"/>
  <c r="Y7" i="10"/>
  <c r="Z4" i="10"/>
  <c r="Z5" i="10"/>
  <c r="Z6" i="10"/>
  <c r="G18" i="10"/>
  <c r="G19" i="10"/>
  <c r="F18" i="10"/>
  <c r="F19" i="10"/>
  <c r="E18" i="10"/>
  <c r="E19" i="10"/>
  <c r="D18" i="10"/>
  <c r="D19" i="10"/>
  <c r="S4" i="10"/>
  <c r="S5" i="10"/>
  <c r="R17" i="10"/>
  <c r="C19" i="10"/>
  <c r="R19" i="10" s="1"/>
  <c r="C18" i="10"/>
  <c r="R18" i="10" s="1"/>
  <c r="S26" i="8"/>
  <c r="S35" i="8"/>
  <c r="S30" i="8"/>
  <c r="H36" i="16"/>
  <c r="H43" i="6"/>
  <c r="I43" i="6" s="1"/>
  <c r="J43" i="6" s="1"/>
  <c r="K43" i="6" s="1"/>
  <c r="L43" i="6" s="1"/>
  <c r="M43" i="6" s="1"/>
  <c r="N43" i="6" s="1"/>
  <c r="O43" i="6" s="1"/>
  <c r="P43" i="6" s="1"/>
  <c r="Q43" i="6" s="1"/>
  <c r="D32" i="8"/>
  <c r="F16" i="6"/>
  <c r="F17" i="6" s="1"/>
  <c r="F19" i="6"/>
  <c r="F48" i="6" s="1"/>
  <c r="E16" i="6"/>
  <c r="E17" i="6" s="1"/>
  <c r="E19" i="6"/>
  <c r="E48" i="6" s="1"/>
  <c r="D16" i="6"/>
  <c r="D17" i="6" s="1"/>
  <c r="D19" i="6"/>
  <c r="D48" i="6" s="1"/>
  <c r="C16" i="6"/>
  <c r="C17" i="6" s="1"/>
  <c r="C19" i="6"/>
  <c r="C48" i="6" s="1"/>
  <c r="H11" i="6"/>
  <c r="I11" i="6" s="1"/>
  <c r="J11" i="6" s="1"/>
  <c r="K11" i="6" s="1"/>
  <c r="L11" i="6" s="1"/>
  <c r="M11" i="6" s="1"/>
  <c r="N11" i="6" s="1"/>
  <c r="O11" i="6" s="1"/>
  <c r="P11" i="6" s="1"/>
  <c r="Q11" i="6" s="1"/>
  <c r="G12" i="6"/>
  <c r="G51" i="4"/>
  <c r="G47" i="4"/>
  <c r="F51" i="4"/>
  <c r="F47" i="4"/>
  <c r="E51" i="4"/>
  <c r="E47" i="4"/>
  <c r="D51" i="4"/>
  <c r="D47" i="4"/>
  <c r="C51" i="4"/>
  <c r="C47" i="4"/>
  <c r="G28" i="4"/>
  <c r="G3" i="8"/>
  <c r="F28" i="4"/>
  <c r="F3" i="8"/>
  <c r="E28" i="4"/>
  <c r="E3" i="8"/>
  <c r="D28" i="4"/>
  <c r="D3" i="8"/>
  <c r="C28" i="4"/>
  <c r="C3" i="8"/>
  <c r="J6" i="4"/>
  <c r="I5" i="4"/>
  <c r="D49" i="3"/>
  <c r="C51" i="3"/>
  <c r="C52" i="3" s="1"/>
  <c r="H38" i="4" s="1"/>
  <c r="F49" i="3"/>
  <c r="C43" i="3"/>
  <c r="C16" i="3"/>
  <c r="N36" i="4"/>
  <c r="K36" i="4"/>
  <c r="M36" i="4"/>
  <c r="L36" i="4"/>
  <c r="J36" i="4"/>
  <c r="I36" i="4"/>
  <c r="H36" i="4"/>
  <c r="Q36" i="4"/>
  <c r="P36" i="4"/>
  <c r="O36" i="4"/>
  <c r="H39" i="4"/>
  <c r="H55" i="4"/>
  <c r="H58" i="4" s="1"/>
  <c r="P126" i="2"/>
  <c r="O126" i="2"/>
  <c r="N126" i="2"/>
  <c r="M126" i="2"/>
  <c r="L126" i="2"/>
  <c r="K126" i="2"/>
  <c r="J126" i="2"/>
  <c r="I126" i="2"/>
  <c r="H126" i="2"/>
  <c r="Q126" i="2"/>
  <c r="K124" i="2"/>
  <c r="H124" i="2"/>
  <c r="I124" i="2"/>
  <c r="J124" i="2"/>
  <c r="L124" i="2"/>
  <c r="M124" i="2"/>
  <c r="O124" i="2"/>
  <c r="P124" i="2"/>
  <c r="Q124" i="2"/>
  <c r="N124" i="2"/>
  <c r="P122" i="2"/>
  <c r="H122" i="2"/>
  <c r="H9" i="5" s="1"/>
  <c r="H40" i="6" s="1"/>
  <c r="Q122" i="2"/>
  <c r="O122" i="2"/>
  <c r="N122" i="2"/>
  <c r="M122" i="2"/>
  <c r="L122" i="2"/>
  <c r="K122" i="2"/>
  <c r="J122" i="2"/>
  <c r="I122" i="2"/>
  <c r="I9" i="5" s="1"/>
  <c r="K114" i="2"/>
  <c r="J114" i="2"/>
  <c r="I114" i="2"/>
  <c r="H114" i="2"/>
  <c r="L114" i="2"/>
  <c r="M114" i="2"/>
  <c r="N114" i="2"/>
  <c r="O114" i="2"/>
  <c r="P114" i="2"/>
  <c r="Q114" i="2"/>
  <c r="N106" i="2"/>
  <c r="Q106" i="2"/>
  <c r="P106" i="2"/>
  <c r="O106" i="2"/>
  <c r="M106" i="2"/>
  <c r="L106" i="2"/>
  <c r="K106" i="2"/>
  <c r="J106" i="2"/>
  <c r="I106" i="2"/>
  <c r="H106" i="2"/>
  <c r="Q100" i="2"/>
  <c r="J100" i="2"/>
  <c r="O100" i="2"/>
  <c r="H100" i="2"/>
  <c r="I100" i="2"/>
  <c r="K100" i="2"/>
  <c r="L100" i="2"/>
  <c r="M100" i="2"/>
  <c r="N100" i="2"/>
  <c r="P100" i="2"/>
  <c r="I94" i="2"/>
  <c r="Q94" i="2"/>
  <c r="P94" i="2"/>
  <c r="O94" i="2"/>
  <c r="N94" i="2"/>
  <c r="M94" i="2"/>
  <c r="L94" i="2"/>
  <c r="K94" i="2"/>
  <c r="H94" i="2"/>
  <c r="J94" i="2"/>
  <c r="Q89" i="2"/>
  <c r="Q90" i="2"/>
  <c r="P89" i="2"/>
  <c r="P90" i="2"/>
  <c r="O89" i="2"/>
  <c r="O90" i="2"/>
  <c r="N89" i="2"/>
  <c r="N90" i="2"/>
  <c r="M90" i="2"/>
  <c r="M89" i="2"/>
  <c r="L89" i="2"/>
  <c r="L90" i="2"/>
  <c r="K90" i="2"/>
  <c r="K89" i="2"/>
  <c r="J89" i="2"/>
  <c r="J90" i="2"/>
  <c r="I87" i="2"/>
  <c r="I90" i="2"/>
  <c r="I89" i="2"/>
  <c r="H87" i="2"/>
  <c r="H89" i="2"/>
  <c r="H90" i="2"/>
  <c r="Q82" i="2"/>
  <c r="M82" i="2"/>
  <c r="P82" i="2"/>
  <c r="O82" i="2"/>
  <c r="N82" i="2"/>
  <c r="L82" i="2"/>
  <c r="K82" i="2"/>
  <c r="J82" i="2"/>
  <c r="I82" i="2"/>
  <c r="H82" i="2"/>
  <c r="Q76" i="2"/>
  <c r="H76" i="2"/>
  <c r="I76" i="2"/>
  <c r="J76" i="2"/>
  <c r="K76" i="2"/>
  <c r="L76" i="2"/>
  <c r="M76" i="2"/>
  <c r="N76" i="2"/>
  <c r="O76" i="2"/>
  <c r="P76" i="2"/>
  <c r="H66" i="2"/>
  <c r="Q66" i="2"/>
  <c r="P66" i="2"/>
  <c r="O66" i="2"/>
  <c r="N66" i="2"/>
  <c r="M66" i="2"/>
  <c r="L66" i="2"/>
  <c r="J66" i="2"/>
  <c r="I66" i="2"/>
  <c r="K66" i="2"/>
  <c r="M61" i="2"/>
  <c r="L61" i="2"/>
  <c r="K61" i="2"/>
  <c r="J61" i="2"/>
  <c r="I61" i="2"/>
  <c r="H61" i="2"/>
  <c r="N61" i="2"/>
  <c r="Q61" i="2"/>
  <c r="P61" i="2"/>
  <c r="O61" i="2"/>
  <c r="H56" i="2"/>
  <c r="L56" i="2"/>
  <c r="M56" i="2"/>
  <c r="N56" i="2"/>
  <c r="O56" i="2"/>
  <c r="P56" i="2"/>
  <c r="Q56" i="2"/>
  <c r="K56" i="2"/>
  <c r="J56" i="2"/>
  <c r="I56" i="2"/>
  <c r="Q50" i="2"/>
  <c r="Q48" i="2"/>
  <c r="Q49" i="2"/>
  <c r="Q51" i="2" s="1"/>
  <c r="Q25" i="4" s="1"/>
  <c r="P50" i="2"/>
  <c r="P48" i="2"/>
  <c r="P49" i="2"/>
  <c r="P51" i="2" s="1"/>
  <c r="P25" i="4" s="1"/>
  <c r="O50" i="2"/>
  <c r="O48" i="2"/>
  <c r="O49" i="2"/>
  <c r="O51" i="2" s="1"/>
  <c r="O25" i="4" s="1"/>
  <c r="N49" i="2"/>
  <c r="N51" i="2" s="1"/>
  <c r="N25" i="4" s="1"/>
  <c r="N50" i="2"/>
  <c r="N48" i="2"/>
  <c r="M48" i="2"/>
  <c r="M49" i="2"/>
  <c r="M51" i="2" s="1"/>
  <c r="M25" i="4" s="1"/>
  <c r="M50" i="2"/>
  <c r="L50" i="2"/>
  <c r="L49" i="2"/>
  <c r="L51" i="2" s="1"/>
  <c r="L25" i="4" s="1"/>
  <c r="L48" i="2"/>
  <c r="K50" i="2"/>
  <c r="K48" i="2"/>
  <c r="K49" i="2"/>
  <c r="K51" i="2" s="1"/>
  <c r="K25" i="4" s="1"/>
  <c r="J50" i="2"/>
  <c r="J48" i="2"/>
  <c r="J49" i="2"/>
  <c r="J51" i="2" s="1"/>
  <c r="J25" i="4" s="1"/>
  <c r="I48" i="2"/>
  <c r="I49" i="2"/>
  <c r="I51" i="2" s="1"/>
  <c r="I25" i="4" s="1"/>
  <c r="I24" i="4" s="1"/>
  <c r="I50" i="2"/>
  <c r="H50" i="2"/>
  <c r="H49" i="2"/>
  <c r="H51" i="2" s="1"/>
  <c r="H25" i="4" s="1"/>
  <c r="H24" i="4" s="1"/>
  <c r="H48" i="2"/>
  <c r="Q41" i="2"/>
  <c r="Q43" i="2"/>
  <c r="Q42" i="2"/>
  <c r="Q44" i="2" s="1"/>
  <c r="Q22" i="4" s="1"/>
  <c r="P41" i="2"/>
  <c r="P43" i="2"/>
  <c r="P42" i="2"/>
  <c r="P44" i="2" s="1"/>
  <c r="P22" i="4" s="1"/>
  <c r="O41" i="2"/>
  <c r="O43" i="2"/>
  <c r="O42" i="2"/>
  <c r="O44" i="2" s="1"/>
  <c r="O22" i="4" s="1"/>
  <c r="N43" i="2"/>
  <c r="N41" i="2"/>
  <c r="N42" i="2"/>
  <c r="N44" i="2" s="1"/>
  <c r="N22" i="4" s="1"/>
  <c r="M43" i="2"/>
  <c r="M41" i="2"/>
  <c r="M42" i="2"/>
  <c r="M44" i="2" s="1"/>
  <c r="M22" i="4" s="1"/>
  <c r="L43" i="2"/>
  <c r="L42" i="2"/>
  <c r="L44" i="2" s="1"/>
  <c r="L22" i="4" s="1"/>
  <c r="L41" i="2"/>
  <c r="K43" i="2"/>
  <c r="K42" i="2"/>
  <c r="K44" i="2" s="1"/>
  <c r="K22" i="4" s="1"/>
  <c r="K41" i="2"/>
  <c r="J43" i="2"/>
  <c r="J41" i="2"/>
  <c r="J42" i="2"/>
  <c r="J44" i="2" s="1"/>
  <c r="J22" i="4" s="1"/>
  <c r="I43" i="2"/>
  <c r="I42" i="2"/>
  <c r="I44" i="2" s="1"/>
  <c r="I22" i="4" s="1"/>
  <c r="I21" i="4" s="1"/>
  <c r="I41" i="2"/>
  <c r="H42" i="2"/>
  <c r="H44" i="2" s="1"/>
  <c r="H22" i="4" s="1"/>
  <c r="H21" i="4" s="1"/>
  <c r="H41" i="2"/>
  <c r="H43" i="2"/>
  <c r="I35" i="2"/>
  <c r="H36" i="2"/>
  <c r="I36" i="2" s="1"/>
  <c r="J36" i="2" s="1"/>
  <c r="K36" i="2" s="1"/>
  <c r="L36" i="2" s="1"/>
  <c r="M36" i="2" s="1"/>
  <c r="N36" i="2" s="1"/>
  <c r="O36" i="2" s="1"/>
  <c r="P36" i="2" s="1"/>
  <c r="Q36" i="2" s="1"/>
  <c r="H37" i="2"/>
  <c r="H19" i="4" s="1"/>
  <c r="H18" i="4" s="1"/>
  <c r="H34" i="2"/>
  <c r="I34" i="2" s="1"/>
  <c r="J34" i="2" s="1"/>
  <c r="K34" i="2" s="1"/>
  <c r="L34" i="2" s="1"/>
  <c r="M34" i="2" s="1"/>
  <c r="N34" i="2" s="1"/>
  <c r="O34" i="2" s="1"/>
  <c r="P34" i="2" s="1"/>
  <c r="Q34" i="2" s="1"/>
  <c r="Q16" i="2"/>
  <c r="Q22" i="2"/>
  <c r="Q28" i="2"/>
  <c r="P16" i="2"/>
  <c r="P28" i="2"/>
  <c r="P22" i="2"/>
  <c r="O28" i="2"/>
  <c r="O22" i="2"/>
  <c r="O16" i="2"/>
  <c r="N28" i="2"/>
  <c r="N22" i="2"/>
  <c r="N16" i="2"/>
  <c r="M28" i="2"/>
  <c r="M16" i="2"/>
  <c r="M22" i="2"/>
  <c r="L28" i="2"/>
  <c r="L16" i="2"/>
  <c r="L22" i="2"/>
  <c r="K16" i="2"/>
  <c r="K28" i="2"/>
  <c r="K22" i="2"/>
  <c r="J22" i="2"/>
  <c r="J28" i="2"/>
  <c r="J16" i="2"/>
  <c r="I22" i="2"/>
  <c r="I28" i="2"/>
  <c r="I16" i="2"/>
  <c r="H22" i="2"/>
  <c r="H16" i="2"/>
  <c r="H28" i="2"/>
  <c r="Q27" i="2"/>
  <c r="Q21" i="2"/>
  <c r="Q15" i="2"/>
  <c r="P21" i="2"/>
  <c r="P15" i="2"/>
  <c r="P27" i="2"/>
  <c r="O27" i="2"/>
  <c r="O21" i="2"/>
  <c r="O15" i="2"/>
  <c r="N21" i="2"/>
  <c r="N27" i="2"/>
  <c r="N15" i="2"/>
  <c r="M15" i="2"/>
  <c r="M27" i="2"/>
  <c r="M21" i="2"/>
  <c r="L27" i="2"/>
  <c r="L21" i="2"/>
  <c r="L15" i="2"/>
  <c r="K15" i="2"/>
  <c r="K27" i="2"/>
  <c r="K21" i="2"/>
  <c r="J27" i="2"/>
  <c r="J15" i="2"/>
  <c r="J21" i="2"/>
  <c r="I15" i="2"/>
  <c r="I21" i="2"/>
  <c r="I27" i="2"/>
  <c r="H27" i="2"/>
  <c r="H21" i="2"/>
  <c r="H15" i="2"/>
  <c r="K20" i="2"/>
  <c r="K26" i="2"/>
  <c r="K14" i="2"/>
  <c r="J26" i="2"/>
  <c r="J14" i="2"/>
  <c r="J20" i="2"/>
  <c r="I20" i="2"/>
  <c r="I14" i="2"/>
  <c r="I26" i="2"/>
  <c r="H14" i="2"/>
  <c r="H20" i="2"/>
  <c r="H26" i="2"/>
  <c r="Q25" i="2"/>
  <c r="Q19" i="2"/>
  <c r="Q13" i="2"/>
  <c r="P19" i="2"/>
  <c r="P25" i="2"/>
  <c r="P13" i="2"/>
  <c r="O13" i="2"/>
  <c r="O19" i="2"/>
  <c r="O25" i="2"/>
  <c r="N25" i="2"/>
  <c r="N13" i="2"/>
  <c r="N19" i="2"/>
  <c r="M25" i="2"/>
  <c r="M19" i="2"/>
  <c r="M13" i="2"/>
  <c r="L19" i="2"/>
  <c r="L13" i="2"/>
  <c r="L25" i="2"/>
  <c r="K13" i="2"/>
  <c r="K25" i="2"/>
  <c r="K19" i="2"/>
  <c r="J13" i="2"/>
  <c r="J25" i="2"/>
  <c r="J19" i="2"/>
  <c r="I25" i="2"/>
  <c r="I19" i="2"/>
  <c r="I13" i="2"/>
  <c r="H13" i="2"/>
  <c r="H25" i="2"/>
  <c r="H19" i="2"/>
  <c r="G34" i="5"/>
  <c r="G38" i="5"/>
  <c r="G39" i="5" s="1"/>
  <c r="F38" i="5"/>
  <c r="F39" i="5" s="1"/>
  <c r="F34" i="5"/>
  <c r="E34" i="5"/>
  <c r="E38" i="5"/>
  <c r="E39" i="5" s="1"/>
  <c r="D38" i="5"/>
  <c r="D39" i="5" s="1"/>
  <c r="D34" i="5"/>
  <c r="C38" i="5"/>
  <c r="C39" i="5" s="1"/>
  <c r="C34" i="5"/>
  <c r="C35" i="5" s="1"/>
  <c r="C36" i="5" s="1"/>
  <c r="D35" i="5" s="1"/>
  <c r="D36" i="5" s="1"/>
  <c r="E35" i="5" s="1"/>
  <c r="E36" i="5" s="1"/>
  <c r="F35" i="5" s="1"/>
  <c r="F36" i="5" s="1"/>
  <c r="G35" i="5" s="1"/>
  <c r="G36" i="5" s="1"/>
  <c r="M45" i="3"/>
  <c r="I36" i="16" l="1"/>
  <c r="L8" i="2"/>
  <c r="G16" i="6"/>
  <c r="G52" i="4"/>
  <c r="G54" i="4"/>
  <c r="G57" i="4"/>
  <c r="G116" i="2"/>
  <c r="G128" i="2"/>
  <c r="F52" i="4"/>
  <c r="F54" i="4"/>
  <c r="F57" i="4"/>
  <c r="F116" i="2"/>
  <c r="F128" i="2"/>
  <c r="E52" i="4"/>
  <c r="E54" i="4"/>
  <c r="E57" i="4"/>
  <c r="E116" i="2"/>
  <c r="E128" i="2"/>
  <c r="D52" i="4"/>
  <c r="D54" i="4"/>
  <c r="D57" i="4"/>
  <c r="D116" i="2"/>
  <c r="D128" i="2"/>
  <c r="C52" i="4"/>
  <c r="C54" i="4"/>
  <c r="C57" i="4"/>
  <c r="C116" i="2"/>
  <c r="C128" i="2"/>
  <c r="G6" i="8"/>
  <c r="G10" i="8" s="1"/>
  <c r="G16" i="8"/>
  <c r="F6" i="8"/>
  <c r="F10" i="8" s="1"/>
  <c r="F16" i="8"/>
  <c r="E6" i="8"/>
  <c r="E10" i="8" s="1"/>
  <c r="E16" i="8"/>
  <c r="D6" i="8"/>
  <c r="D10" i="8" s="1"/>
  <c r="D16" i="8"/>
  <c r="C6" i="8"/>
  <c r="C10" i="8" s="1"/>
  <c r="C16" i="8"/>
  <c r="K6" i="4"/>
  <c r="J5" i="4"/>
  <c r="C54" i="3"/>
  <c r="D54" i="3"/>
  <c r="E54" i="3"/>
  <c r="C53" i="3"/>
  <c r="I40" i="6"/>
  <c r="N107" i="2"/>
  <c r="N108" i="2"/>
  <c r="N105" i="2"/>
  <c r="Q107" i="2"/>
  <c r="Q108" i="2"/>
  <c r="Q105" i="2"/>
  <c r="P107" i="2"/>
  <c r="P108" i="2"/>
  <c r="P105" i="2"/>
  <c r="O107" i="2"/>
  <c r="O108" i="2"/>
  <c r="O105" i="2"/>
  <c r="M107" i="2"/>
  <c r="M108" i="2"/>
  <c r="M105" i="2"/>
  <c r="L107" i="2"/>
  <c r="L108" i="2"/>
  <c r="L105" i="2"/>
  <c r="K107" i="2"/>
  <c r="K108" i="2"/>
  <c r="K105" i="2"/>
  <c r="J107" i="2"/>
  <c r="J108" i="2"/>
  <c r="J105" i="2"/>
  <c r="I107" i="2"/>
  <c r="I108" i="2"/>
  <c r="I21" i="5" s="1"/>
  <c r="I105" i="2"/>
  <c r="H107" i="2"/>
  <c r="H108" i="2"/>
  <c r="H21" i="5" s="1"/>
  <c r="H105" i="2"/>
  <c r="Q101" i="2"/>
  <c r="Q102" i="2"/>
  <c r="Q99" i="2"/>
  <c r="J101" i="2"/>
  <c r="J102" i="2"/>
  <c r="J99" i="2"/>
  <c r="O101" i="2"/>
  <c r="O102" i="2"/>
  <c r="O99" i="2"/>
  <c r="H101" i="2"/>
  <c r="H102" i="2"/>
  <c r="H99" i="2"/>
  <c r="I101" i="2"/>
  <c r="I102" i="2"/>
  <c r="I99" i="2"/>
  <c r="K101" i="2"/>
  <c r="K102" i="2"/>
  <c r="K99" i="2"/>
  <c r="L101" i="2"/>
  <c r="L102" i="2"/>
  <c r="L99" i="2"/>
  <c r="M101" i="2"/>
  <c r="M102" i="2"/>
  <c r="M99" i="2"/>
  <c r="N101" i="2"/>
  <c r="N102" i="2"/>
  <c r="N99" i="2"/>
  <c r="P101" i="2"/>
  <c r="P102" i="2"/>
  <c r="P99" i="2"/>
  <c r="I95" i="2"/>
  <c r="I96" i="2"/>
  <c r="I25" i="6" s="1"/>
  <c r="I93" i="2"/>
  <c r="Q95" i="2"/>
  <c r="Q96" i="2"/>
  <c r="Q93" i="2"/>
  <c r="P95" i="2"/>
  <c r="P96" i="2"/>
  <c r="P93" i="2"/>
  <c r="O95" i="2"/>
  <c r="O96" i="2"/>
  <c r="O93" i="2"/>
  <c r="N95" i="2"/>
  <c r="N96" i="2"/>
  <c r="N93" i="2"/>
  <c r="M95" i="2"/>
  <c r="M96" i="2"/>
  <c r="M93" i="2"/>
  <c r="L95" i="2"/>
  <c r="L96" i="2"/>
  <c r="L93" i="2"/>
  <c r="K95" i="2"/>
  <c r="K96" i="2"/>
  <c r="K93" i="2"/>
  <c r="H95" i="2"/>
  <c r="H96" i="2"/>
  <c r="H25" i="6" s="1"/>
  <c r="H15" i="5" s="1"/>
  <c r="H93" i="2"/>
  <c r="J95" i="2"/>
  <c r="J96" i="2"/>
  <c r="J93" i="2"/>
  <c r="Q83" i="2"/>
  <c r="Q84" i="2"/>
  <c r="Q81" i="2"/>
  <c r="M83" i="2"/>
  <c r="M84" i="2"/>
  <c r="M81" i="2"/>
  <c r="P83" i="2"/>
  <c r="P84" i="2"/>
  <c r="P81" i="2"/>
  <c r="O83" i="2"/>
  <c r="O84" i="2"/>
  <c r="O81" i="2"/>
  <c r="N83" i="2"/>
  <c r="N84" i="2"/>
  <c r="N81" i="2"/>
  <c r="L83" i="2"/>
  <c r="L84" i="2"/>
  <c r="L81" i="2"/>
  <c r="K83" i="2"/>
  <c r="K84" i="2"/>
  <c r="K81" i="2"/>
  <c r="J83" i="2"/>
  <c r="J84" i="2"/>
  <c r="J81" i="2"/>
  <c r="I83" i="2"/>
  <c r="I84" i="2"/>
  <c r="I24" i="6" s="1"/>
  <c r="I81" i="2"/>
  <c r="H83" i="2"/>
  <c r="H84" i="2"/>
  <c r="H24" i="6" s="1"/>
  <c r="H81" i="2"/>
  <c r="Q77" i="2"/>
  <c r="Q78" i="2"/>
  <c r="Q75" i="2"/>
  <c r="H77" i="2"/>
  <c r="H78" i="2"/>
  <c r="H9" i="6" s="1"/>
  <c r="H12" i="5" s="1"/>
  <c r="H75" i="2"/>
  <c r="I77" i="2"/>
  <c r="I78" i="2"/>
  <c r="I9" i="6" s="1"/>
  <c r="I12" i="5" s="1"/>
  <c r="I75" i="2"/>
  <c r="J77" i="2"/>
  <c r="J78" i="2"/>
  <c r="J75" i="2"/>
  <c r="K77" i="2"/>
  <c r="K78" i="2"/>
  <c r="K75" i="2"/>
  <c r="L77" i="2"/>
  <c r="L78" i="2"/>
  <c r="L75" i="2"/>
  <c r="M77" i="2"/>
  <c r="M78" i="2"/>
  <c r="M75" i="2"/>
  <c r="N77" i="2"/>
  <c r="N78" i="2"/>
  <c r="N75" i="2"/>
  <c r="O77" i="2"/>
  <c r="O78" i="2"/>
  <c r="O75" i="2"/>
  <c r="P77" i="2"/>
  <c r="P78" i="2"/>
  <c r="P75" i="2"/>
  <c r="H67" i="2"/>
  <c r="H68" i="2"/>
  <c r="H44" i="4" s="1"/>
  <c r="H65" i="2"/>
  <c r="Q67" i="2"/>
  <c r="Q68" i="2"/>
  <c r="Q44" i="4" s="1"/>
  <c r="Q65" i="2"/>
  <c r="P67" i="2"/>
  <c r="P68" i="2"/>
  <c r="P44" i="4" s="1"/>
  <c r="P65" i="2"/>
  <c r="O67" i="2"/>
  <c r="O68" i="2"/>
  <c r="O44" i="4" s="1"/>
  <c r="O65" i="2"/>
  <c r="N67" i="2"/>
  <c r="N68" i="2"/>
  <c r="N44" i="4" s="1"/>
  <c r="N65" i="2"/>
  <c r="M67" i="2"/>
  <c r="M68" i="2"/>
  <c r="M44" i="4" s="1"/>
  <c r="M65" i="2"/>
  <c r="L67" i="2"/>
  <c r="L68" i="2"/>
  <c r="L44" i="4" s="1"/>
  <c r="L65" i="2"/>
  <c r="J67" i="2"/>
  <c r="J68" i="2"/>
  <c r="J44" i="4" s="1"/>
  <c r="J65" i="2"/>
  <c r="I67" i="2"/>
  <c r="I68" i="2"/>
  <c r="I44" i="4" s="1"/>
  <c r="I65" i="2"/>
  <c r="K67" i="2"/>
  <c r="K68" i="2"/>
  <c r="K44" i="4" s="1"/>
  <c r="K65" i="2"/>
  <c r="M31" i="4"/>
  <c r="M5" i="8"/>
  <c r="L31" i="4"/>
  <c r="L5" i="8"/>
  <c r="K31" i="4"/>
  <c r="K5" i="8"/>
  <c r="J31" i="4"/>
  <c r="J5" i="8"/>
  <c r="I31" i="4"/>
  <c r="I5" i="8"/>
  <c r="H31" i="4"/>
  <c r="H5" i="8"/>
  <c r="N31" i="4"/>
  <c r="N5" i="8"/>
  <c r="Q31" i="4"/>
  <c r="Q5" i="8"/>
  <c r="P31" i="4"/>
  <c r="P5" i="8"/>
  <c r="O31" i="4"/>
  <c r="O5" i="8"/>
  <c r="H57" i="2"/>
  <c r="H58" i="2"/>
  <c r="H55" i="2"/>
  <c r="L57" i="2"/>
  <c r="L58" i="2"/>
  <c r="L55" i="2"/>
  <c r="M57" i="2"/>
  <c r="M58" i="2"/>
  <c r="M55" i="2"/>
  <c r="N57" i="2"/>
  <c r="N58" i="2"/>
  <c r="N55" i="2"/>
  <c r="O57" i="2"/>
  <c r="O58" i="2"/>
  <c r="O55" i="2"/>
  <c r="P57" i="2"/>
  <c r="P58" i="2"/>
  <c r="P55" i="2"/>
  <c r="Q57" i="2"/>
  <c r="Q58" i="2"/>
  <c r="Q55" i="2"/>
  <c r="K57" i="2"/>
  <c r="K58" i="2"/>
  <c r="K55" i="2"/>
  <c r="J57" i="2"/>
  <c r="J58" i="2"/>
  <c r="J55" i="2"/>
  <c r="I57" i="2"/>
  <c r="I58" i="2"/>
  <c r="I55" i="2"/>
  <c r="I7" i="8"/>
  <c r="I8" i="5"/>
  <c r="H7" i="8"/>
  <c r="H8" i="5"/>
  <c r="J35" i="2"/>
  <c r="I37" i="2"/>
  <c r="I19" i="4" s="1"/>
  <c r="I18" i="4" s="1"/>
  <c r="H16" i="4"/>
  <c r="H10" i="6" s="1"/>
  <c r="H13" i="5" s="1"/>
  <c r="H27" i="4"/>
  <c r="J36" i="16" l="1"/>
  <c r="M8" i="2"/>
  <c r="L14" i="2"/>
  <c r="L20" i="2"/>
  <c r="L9" i="4"/>
  <c r="M8" i="4" s="1"/>
  <c r="L26" i="2"/>
  <c r="G17" i="6"/>
  <c r="G19" i="6" s="1"/>
  <c r="G48" i="6" s="1"/>
  <c r="H16" i="6"/>
  <c r="I16" i="6" s="1"/>
  <c r="J16" i="6" s="1"/>
  <c r="K16" i="6" s="1"/>
  <c r="L16" i="6" s="1"/>
  <c r="M16" i="6" s="1"/>
  <c r="N16" i="6" s="1"/>
  <c r="O16" i="6" s="1"/>
  <c r="P16" i="6" s="1"/>
  <c r="Q16" i="6" s="1"/>
  <c r="H118" i="2"/>
  <c r="I118" i="2"/>
  <c r="J118" i="2"/>
  <c r="K118" i="2"/>
  <c r="L118" i="2"/>
  <c r="M118" i="2"/>
  <c r="N118" i="2"/>
  <c r="O118" i="2"/>
  <c r="P118" i="2"/>
  <c r="Q118" i="2"/>
  <c r="L6" i="4"/>
  <c r="K5" i="4"/>
  <c r="J21" i="4"/>
  <c r="J9" i="5"/>
  <c r="J24" i="4"/>
  <c r="C55" i="3"/>
  <c r="H32" i="6"/>
  <c r="H30" i="5" s="1"/>
  <c r="D51" i="3"/>
  <c r="I32" i="6"/>
  <c r="I30" i="5" s="1"/>
  <c r="E51" i="3"/>
  <c r="J32" i="6"/>
  <c r="J30" i="5" s="1"/>
  <c r="F51" i="3"/>
  <c r="J40" i="6"/>
  <c r="I8" i="8"/>
  <c r="I24" i="5"/>
  <c r="H14" i="6"/>
  <c r="H8" i="8"/>
  <c r="H24" i="5"/>
  <c r="I14" i="5"/>
  <c r="H14" i="5"/>
  <c r="H32" i="4"/>
  <c r="H30" i="4" s="1"/>
  <c r="H4" i="8"/>
  <c r="L32" i="4"/>
  <c r="L30" i="4" s="1"/>
  <c r="L4" i="8"/>
  <c r="M32" i="4"/>
  <c r="M30" i="4" s="1"/>
  <c r="M4" i="8"/>
  <c r="N32" i="4"/>
  <c r="N30" i="4" s="1"/>
  <c r="N4" i="8"/>
  <c r="O32" i="4"/>
  <c r="O30" i="4" s="1"/>
  <c r="O4" i="8"/>
  <c r="P32" i="4"/>
  <c r="P30" i="4" s="1"/>
  <c r="P4" i="8"/>
  <c r="Q32" i="4"/>
  <c r="Q30" i="4" s="1"/>
  <c r="Q4" i="8"/>
  <c r="K32" i="4"/>
  <c r="K30" i="4" s="1"/>
  <c r="K4" i="8"/>
  <c r="J32" i="4"/>
  <c r="J30" i="4" s="1"/>
  <c r="J4" i="8"/>
  <c r="I32" i="4"/>
  <c r="I30" i="4" s="1"/>
  <c r="I4" i="8"/>
  <c r="K35" i="2"/>
  <c r="J37" i="2"/>
  <c r="J19" i="4" s="1"/>
  <c r="J18" i="4" s="1"/>
  <c r="I16" i="4"/>
  <c r="I10" i="6" s="1"/>
  <c r="I13" i="5" s="1"/>
  <c r="I27" i="4"/>
  <c r="H28" i="4"/>
  <c r="H61" i="4"/>
  <c r="H3" i="8"/>
  <c r="J21" i="5"/>
  <c r="I15" i="5"/>
  <c r="J25" i="6"/>
  <c r="J15" i="5" s="1"/>
  <c r="J24" i="6"/>
  <c r="J9" i="6"/>
  <c r="J12" i="5" s="1"/>
  <c r="K36" i="16" l="1"/>
  <c r="N8" i="2"/>
  <c r="M26" i="2"/>
  <c r="M9" i="4"/>
  <c r="N8" i="4" s="1"/>
  <c r="M14" i="2"/>
  <c r="M20" i="2"/>
  <c r="H119" i="2"/>
  <c r="H120" i="2"/>
  <c r="H117" i="2"/>
  <c r="I119" i="2"/>
  <c r="I120" i="2"/>
  <c r="I117" i="2"/>
  <c r="J119" i="2"/>
  <c r="J120" i="2"/>
  <c r="J117" i="2"/>
  <c r="K119" i="2"/>
  <c r="K120" i="2"/>
  <c r="K117" i="2"/>
  <c r="L119" i="2"/>
  <c r="L120" i="2"/>
  <c r="L117" i="2"/>
  <c r="M119" i="2"/>
  <c r="M120" i="2"/>
  <c r="M117" i="2"/>
  <c r="N119" i="2"/>
  <c r="N120" i="2"/>
  <c r="N117" i="2"/>
  <c r="O119" i="2"/>
  <c r="O120" i="2"/>
  <c r="O117" i="2"/>
  <c r="P119" i="2"/>
  <c r="P120" i="2"/>
  <c r="P117" i="2"/>
  <c r="Q119" i="2"/>
  <c r="Q120" i="2"/>
  <c r="Q117" i="2"/>
  <c r="M6" i="4"/>
  <c r="L5" i="4"/>
  <c r="F54" i="3"/>
  <c r="K9" i="6"/>
  <c r="K12" i="5" s="1"/>
  <c r="K24" i="6"/>
  <c r="K25" i="6"/>
  <c r="K15" i="5" s="1"/>
  <c r="K21" i="5"/>
  <c r="K24" i="4"/>
  <c r="K9" i="5"/>
  <c r="K21" i="4"/>
  <c r="J8" i="5"/>
  <c r="J7" i="8"/>
  <c r="D53" i="3"/>
  <c r="D52" i="3"/>
  <c r="E53" i="3"/>
  <c r="E52" i="3"/>
  <c r="F53" i="3"/>
  <c r="F52" i="3"/>
  <c r="K38" i="4" s="1"/>
  <c r="K40" i="6"/>
  <c r="I14" i="6"/>
  <c r="H17" i="6"/>
  <c r="L35" i="2"/>
  <c r="K37" i="2"/>
  <c r="K19" i="4" s="1"/>
  <c r="K18" i="4" s="1"/>
  <c r="I28" i="4"/>
  <c r="I61" i="4"/>
  <c r="I3" i="8"/>
  <c r="H62" i="4"/>
  <c r="H6" i="8"/>
  <c r="H16" i="8"/>
  <c r="J8" i="8"/>
  <c r="J24" i="5"/>
  <c r="J14" i="5"/>
  <c r="J27" i="4"/>
  <c r="J16" i="4"/>
  <c r="J10" i="6" s="1"/>
  <c r="J13" i="5" s="1"/>
  <c r="L36" i="16" l="1"/>
  <c r="O8" i="2"/>
  <c r="N14" i="2"/>
  <c r="N20" i="2"/>
  <c r="N26" i="2"/>
  <c r="N9" i="4"/>
  <c r="O8" i="4" s="1"/>
  <c r="N6" i="4"/>
  <c r="M5" i="4"/>
  <c r="G54" i="3"/>
  <c r="L21" i="5"/>
  <c r="L9" i="6"/>
  <c r="L12" i="5" s="1"/>
  <c r="L24" i="6"/>
  <c r="L25" i="6"/>
  <c r="L15" i="5" s="1"/>
  <c r="L21" i="4"/>
  <c r="L24" i="4"/>
  <c r="L9" i="5"/>
  <c r="L40" i="6" s="1"/>
  <c r="L16" i="4"/>
  <c r="L10" i="6" s="1"/>
  <c r="L13" i="5" s="1"/>
  <c r="G51" i="3"/>
  <c r="K32" i="6"/>
  <c r="K30" i="5" s="1"/>
  <c r="F55" i="3"/>
  <c r="K14" i="5"/>
  <c r="K8" i="8"/>
  <c r="K24" i="5"/>
  <c r="K8" i="5"/>
  <c r="K7" i="8"/>
  <c r="D55" i="3"/>
  <c r="I38" i="4"/>
  <c r="E55" i="3"/>
  <c r="J38" i="4"/>
  <c r="J14" i="6"/>
  <c r="I17" i="6"/>
  <c r="M35" i="2"/>
  <c r="L37" i="2"/>
  <c r="L19" i="4" s="1"/>
  <c r="L18" i="4" s="1"/>
  <c r="I62" i="4"/>
  <c r="I6" i="8"/>
  <c r="I16" i="8"/>
  <c r="C47" i="3"/>
  <c r="C45" i="3"/>
  <c r="D43" i="3"/>
  <c r="D47" i="3" s="1"/>
  <c r="H31" i="6"/>
  <c r="C57" i="3"/>
  <c r="D4" i="7" s="1"/>
  <c r="J3" i="8"/>
  <c r="J61" i="4"/>
  <c r="J28" i="4"/>
  <c r="K27" i="4"/>
  <c r="K16" i="4"/>
  <c r="K10" i="6" s="1"/>
  <c r="K13" i="5" s="1"/>
  <c r="M36" i="16" l="1"/>
  <c r="P8" i="2"/>
  <c r="O14" i="2"/>
  <c r="O20" i="2"/>
  <c r="O9" i="4"/>
  <c r="P8" i="4" s="1"/>
  <c r="O26" i="2"/>
  <c r="O6" i="4"/>
  <c r="N5" i="4"/>
  <c r="H54" i="3"/>
  <c r="M21" i="5"/>
  <c r="M9" i="6"/>
  <c r="M12" i="5" s="1"/>
  <c r="M24" i="6"/>
  <c r="M25" i="6"/>
  <c r="M15" i="5" s="1"/>
  <c r="M24" i="4"/>
  <c r="M21" i="4"/>
  <c r="M9" i="5"/>
  <c r="M40" i="6" s="1"/>
  <c r="M16" i="4"/>
  <c r="M10" i="6" s="1"/>
  <c r="M13" i="5" s="1"/>
  <c r="H51" i="3"/>
  <c r="L32" i="6"/>
  <c r="L30" i="5" s="1"/>
  <c r="G55" i="3"/>
  <c r="L24" i="5"/>
  <c r="L8" i="8"/>
  <c r="L14" i="5"/>
  <c r="L8" i="5"/>
  <c r="L7" i="8"/>
  <c r="G53" i="3"/>
  <c r="G52" i="3"/>
  <c r="L38" i="4" s="1"/>
  <c r="J17" i="6"/>
  <c r="K14" i="6"/>
  <c r="N35" i="2"/>
  <c r="M37" i="2"/>
  <c r="M19" i="4" s="1"/>
  <c r="M18" i="4" s="1"/>
  <c r="D45" i="3"/>
  <c r="E43" i="3"/>
  <c r="E46" i="3" s="1"/>
  <c r="I31" i="6"/>
  <c r="D57" i="3"/>
  <c r="C58" i="3"/>
  <c r="D22" i="7" s="1"/>
  <c r="H37" i="4"/>
  <c r="H35" i="4" s="1"/>
  <c r="D58" i="3"/>
  <c r="I37" i="4"/>
  <c r="H29" i="5"/>
  <c r="D9" i="7"/>
  <c r="D6" i="7"/>
  <c r="D7" i="7"/>
  <c r="D8" i="7"/>
  <c r="J6" i="8"/>
  <c r="J16" i="8"/>
  <c r="J62" i="4"/>
  <c r="K3" i="8"/>
  <c r="K61" i="4"/>
  <c r="K28" i="4"/>
  <c r="L27" i="4"/>
  <c r="H41" i="4" l="1"/>
  <c r="H43" i="4" s="1"/>
  <c r="H46" i="4" s="1"/>
  <c r="H20" i="10"/>
  <c r="N36" i="16"/>
  <c r="Q8" i="2"/>
  <c r="P26" i="2"/>
  <c r="P9" i="4"/>
  <c r="Q8" i="4" s="1"/>
  <c r="P14" i="2"/>
  <c r="P20" i="2"/>
  <c r="P6" i="4"/>
  <c r="O5" i="4"/>
  <c r="I54" i="3"/>
  <c r="N21" i="5"/>
  <c r="N9" i="6"/>
  <c r="N12" i="5" s="1"/>
  <c r="N24" i="6"/>
  <c r="N25" i="6"/>
  <c r="N15" i="5" s="1"/>
  <c r="N21" i="4"/>
  <c r="N24" i="4"/>
  <c r="N9" i="5"/>
  <c r="N40" i="6" s="1"/>
  <c r="N16" i="4"/>
  <c r="N10" i="6" s="1"/>
  <c r="N13" i="5" s="1"/>
  <c r="I51" i="3"/>
  <c r="M32" i="6"/>
  <c r="M30" i="5" s="1"/>
  <c r="M8" i="8"/>
  <c r="M24" i="5"/>
  <c r="M14" i="5"/>
  <c r="M8" i="5"/>
  <c r="M7" i="8"/>
  <c r="H53" i="3"/>
  <c r="H52" i="3"/>
  <c r="L14" i="6"/>
  <c r="K17" i="6"/>
  <c r="O35" i="2"/>
  <c r="N37" i="2"/>
  <c r="N19" i="4" s="1"/>
  <c r="N18" i="4" s="1"/>
  <c r="I29" i="5"/>
  <c r="D23" i="7"/>
  <c r="D21" i="7"/>
  <c r="E45" i="3"/>
  <c r="F43" i="3"/>
  <c r="F46" i="3" s="1"/>
  <c r="J31" i="6"/>
  <c r="E57" i="3"/>
  <c r="K6" i="8"/>
  <c r="K16" i="8"/>
  <c r="K62" i="4"/>
  <c r="L3" i="8"/>
  <c r="L61" i="4"/>
  <c r="L28" i="4"/>
  <c r="M27" i="4"/>
  <c r="E47" i="3"/>
  <c r="Q20" i="2" l="1"/>
  <c r="Q26" i="2"/>
  <c r="Q9" i="4"/>
  <c r="Q14" i="2"/>
  <c r="Q6" i="4"/>
  <c r="Q5" i="4" s="1"/>
  <c r="P5" i="4"/>
  <c r="J54" i="3"/>
  <c r="O9" i="6"/>
  <c r="O12" i="5" s="1"/>
  <c r="O21" i="5"/>
  <c r="O24" i="6"/>
  <c r="O25" i="6"/>
  <c r="O15" i="5" s="1"/>
  <c r="O9" i="5"/>
  <c r="O21" i="4"/>
  <c r="O24" i="4"/>
  <c r="J51" i="3"/>
  <c r="N32" i="6"/>
  <c r="N30" i="5" s="1"/>
  <c r="I55" i="3"/>
  <c r="N24" i="5"/>
  <c r="N8" i="8"/>
  <c r="N14" i="5"/>
  <c r="N8" i="5"/>
  <c r="N7" i="8"/>
  <c r="I53" i="3"/>
  <c r="I52" i="3"/>
  <c r="N38" i="4" s="1"/>
  <c r="O40" i="6"/>
  <c r="M14" i="6"/>
  <c r="L17" i="6"/>
  <c r="P35" i="2"/>
  <c r="O37" i="2"/>
  <c r="O19" i="4" s="1"/>
  <c r="O18" i="4" s="1"/>
  <c r="N4" i="7"/>
  <c r="N5" i="7"/>
  <c r="N7" i="7"/>
  <c r="N8" i="7"/>
  <c r="N6" i="7"/>
  <c r="H47" i="4"/>
  <c r="H6" i="10" s="1"/>
  <c r="H51" i="4"/>
  <c r="H7" i="5"/>
  <c r="H26" i="6"/>
  <c r="H10" i="5"/>
  <c r="H33" i="6" s="1"/>
  <c r="J29" i="5"/>
  <c r="F45" i="3"/>
  <c r="G43" i="3"/>
  <c r="G46" i="3" s="1"/>
  <c r="G47" i="3" s="1"/>
  <c r="K31" i="6"/>
  <c r="F57" i="3"/>
  <c r="L6" i="8"/>
  <c r="L16" i="8"/>
  <c r="L62" i="4"/>
  <c r="M3" i="8"/>
  <c r="M61" i="4"/>
  <c r="M28" i="4"/>
  <c r="J37" i="4"/>
  <c r="E58" i="3"/>
  <c r="N27" i="4"/>
  <c r="F47" i="3"/>
  <c r="M38" i="4"/>
  <c r="H55" i="3"/>
  <c r="H11" i="10" l="1"/>
  <c r="H23" i="10"/>
  <c r="L54" i="3"/>
  <c r="Q21" i="5"/>
  <c r="Q9" i="6"/>
  <c r="Q12" i="5" s="1"/>
  <c r="Q24" i="6"/>
  <c r="Q25" i="6"/>
  <c r="Q15" i="5" s="1"/>
  <c r="Q21" i="4"/>
  <c r="Q24" i="4"/>
  <c r="Q9" i="5"/>
  <c r="P21" i="5"/>
  <c r="K54" i="3"/>
  <c r="P9" i="6"/>
  <c r="P12" i="5" s="1"/>
  <c r="P24" i="6"/>
  <c r="P25" i="6"/>
  <c r="P15" i="5" s="1"/>
  <c r="P21" i="4"/>
  <c r="P24" i="4"/>
  <c r="P9" i="5"/>
  <c r="P16" i="4"/>
  <c r="P10" i="6" s="1"/>
  <c r="K51" i="3"/>
  <c r="O32" i="6"/>
  <c r="O30" i="5" s="1"/>
  <c r="O8" i="8"/>
  <c r="O24" i="5"/>
  <c r="O14" i="5"/>
  <c r="O8" i="5"/>
  <c r="O7" i="8"/>
  <c r="J53" i="3"/>
  <c r="J52" i="3"/>
  <c r="P40" i="6"/>
  <c r="N14" i="6"/>
  <c r="M17" i="6"/>
  <c r="Q35" i="2"/>
  <c r="Q37" i="2" s="1"/>
  <c r="Q19" i="4" s="1"/>
  <c r="Q18" i="4" s="1"/>
  <c r="P37" i="2"/>
  <c r="P19" i="4" s="1"/>
  <c r="P18" i="4" s="1"/>
  <c r="N10" i="7"/>
  <c r="N9" i="7"/>
  <c r="N12" i="7"/>
  <c r="D16" i="7" s="1"/>
  <c r="D15" i="7" s="1"/>
  <c r="D17" i="7" s="1"/>
  <c r="C37" i="9" s="1"/>
  <c r="N11" i="7"/>
  <c r="H28" i="5"/>
  <c r="H52" i="4"/>
  <c r="H54" i="4"/>
  <c r="H57" i="4"/>
  <c r="H28" i="6"/>
  <c r="H16" i="5"/>
  <c r="H11" i="5" s="1"/>
  <c r="H34" i="6"/>
  <c r="G58" i="3"/>
  <c r="L37" i="4"/>
  <c r="K29" i="5"/>
  <c r="G45" i="3"/>
  <c r="H43" i="3"/>
  <c r="H46" i="3" s="1"/>
  <c r="L31" i="6"/>
  <c r="G57" i="3"/>
  <c r="M6" i="8"/>
  <c r="M16" i="8"/>
  <c r="M62" i="4"/>
  <c r="N3" i="8"/>
  <c r="N61" i="4"/>
  <c r="N28" i="4"/>
  <c r="K37" i="4"/>
  <c r="F58" i="3"/>
  <c r="O27" i="4"/>
  <c r="O16" i="4"/>
  <c r="O10" i="6" s="1"/>
  <c r="O13" i="5" s="1"/>
  <c r="H7" i="10" l="1"/>
  <c r="C39" i="9"/>
  <c r="C40" i="9"/>
  <c r="C34" i="9"/>
  <c r="C35" i="9"/>
  <c r="C38" i="9"/>
  <c r="C36" i="9"/>
  <c r="H42" i="6"/>
  <c r="H14" i="10"/>
  <c r="Q32" i="6"/>
  <c r="Q30" i="5" s="1"/>
  <c r="Q24" i="5"/>
  <c r="Q8" i="8"/>
  <c r="Q14" i="5"/>
  <c r="Q8" i="5"/>
  <c r="Q7" i="8"/>
  <c r="P8" i="8"/>
  <c r="P24" i="5"/>
  <c r="L51" i="3"/>
  <c r="P32" i="6"/>
  <c r="P30" i="5" s="1"/>
  <c r="P14" i="5"/>
  <c r="P8" i="5"/>
  <c r="P7" i="8"/>
  <c r="K53" i="3"/>
  <c r="K52" i="3"/>
  <c r="Q40" i="6"/>
  <c r="O14" i="6"/>
  <c r="N17" i="6"/>
  <c r="D25" i="7"/>
  <c r="H21" i="8"/>
  <c r="I21" i="8"/>
  <c r="J21" i="8"/>
  <c r="K21" i="8"/>
  <c r="L21" i="8"/>
  <c r="M21" i="8"/>
  <c r="N21" i="8"/>
  <c r="O21" i="8"/>
  <c r="P21" i="8"/>
  <c r="Q21" i="8"/>
  <c r="H38" i="8"/>
  <c r="D33" i="8" s="1"/>
  <c r="H18" i="8"/>
  <c r="H17" i="5"/>
  <c r="H31" i="5" s="1"/>
  <c r="H9" i="8"/>
  <c r="H10" i="8" s="1"/>
  <c r="L29" i="5"/>
  <c r="H45" i="3"/>
  <c r="I43" i="3"/>
  <c r="I46" i="3" s="1"/>
  <c r="I47" i="3" s="1"/>
  <c r="M31" i="6"/>
  <c r="H57" i="3"/>
  <c r="N6" i="8"/>
  <c r="N16" i="8"/>
  <c r="N62" i="4"/>
  <c r="O3" i="8"/>
  <c r="O61" i="4"/>
  <c r="O28" i="4"/>
  <c r="P13" i="5"/>
  <c r="P27" i="4"/>
  <c r="H36" i="6"/>
  <c r="H47" i="3"/>
  <c r="O38" i="4"/>
  <c r="J55" i="3"/>
  <c r="Q27" i="4"/>
  <c r="Q16" i="4"/>
  <c r="Q10" i="6" s="1"/>
  <c r="Q13" i="5" s="1"/>
  <c r="C9" i="9" l="1"/>
  <c r="C23" i="9"/>
  <c r="L53" i="3"/>
  <c r="L52" i="3"/>
  <c r="P14" i="6"/>
  <c r="O17" i="6"/>
  <c r="H13" i="8"/>
  <c r="H14" i="8" s="1"/>
  <c r="I13" i="8"/>
  <c r="J13" i="8"/>
  <c r="K13" i="8"/>
  <c r="L13" i="8"/>
  <c r="M13" i="8"/>
  <c r="N13" i="8"/>
  <c r="O13" i="8"/>
  <c r="P13" i="8"/>
  <c r="Q13" i="8"/>
  <c r="P31" i="8"/>
  <c r="H38" i="5"/>
  <c r="H39" i="5" s="1"/>
  <c r="I58" i="3"/>
  <c r="N37" i="4"/>
  <c r="M29" i="5"/>
  <c r="I45" i="3"/>
  <c r="J43" i="3"/>
  <c r="J46" i="3" s="1"/>
  <c r="N31" i="6"/>
  <c r="I57" i="3"/>
  <c r="O6" i="8"/>
  <c r="O16" i="8"/>
  <c r="O62" i="4"/>
  <c r="P3" i="8"/>
  <c r="P61" i="4"/>
  <c r="P28" i="4"/>
  <c r="M37" i="4"/>
  <c r="H58" i="3"/>
  <c r="Q3" i="8"/>
  <c r="Q61" i="4"/>
  <c r="Q28" i="4"/>
  <c r="P38" i="4"/>
  <c r="K55" i="3"/>
  <c r="C7" i="9" l="1"/>
  <c r="C8" i="9"/>
  <c r="C6" i="9"/>
  <c r="C10" i="9"/>
  <c r="C11" i="9"/>
  <c r="C12" i="9"/>
  <c r="C25" i="9"/>
  <c r="C26" i="9"/>
  <c r="C24" i="9"/>
  <c r="C20" i="9"/>
  <c r="C21" i="9"/>
  <c r="C22" i="9"/>
  <c r="L55" i="3"/>
  <c r="Q38" i="4"/>
  <c r="P17" i="6"/>
  <c r="Q14" i="6"/>
  <c r="Q17" i="6" s="1"/>
  <c r="H31" i="8"/>
  <c r="L34" i="8"/>
  <c r="H32" i="5"/>
  <c r="H34" i="5" s="1"/>
  <c r="H36" i="5" s="1"/>
  <c r="H41" i="6"/>
  <c r="H129" i="2"/>
  <c r="H133" i="2"/>
  <c r="I130" i="2" s="1"/>
  <c r="H19" i="8"/>
  <c r="H20" i="8" s="1"/>
  <c r="N29" i="5"/>
  <c r="J45" i="3"/>
  <c r="K43" i="3"/>
  <c r="K46" i="3" s="1"/>
  <c r="O31" i="6"/>
  <c r="J57" i="3"/>
  <c r="P6" i="8"/>
  <c r="P16" i="8"/>
  <c r="P62" i="4"/>
  <c r="Q6" i="8"/>
  <c r="Q16" i="8"/>
  <c r="H27" i="8" s="1"/>
  <c r="H29" i="8" s="1"/>
  <c r="Q62" i="4"/>
  <c r="J47" i="3"/>
  <c r="H32" i="8" l="1"/>
  <c r="H22" i="8"/>
  <c r="H7" i="6"/>
  <c r="I35" i="5"/>
  <c r="H44" i="6"/>
  <c r="I55" i="4"/>
  <c r="I58" i="4" s="1"/>
  <c r="O29" i="5"/>
  <c r="K45" i="3"/>
  <c r="L43" i="3"/>
  <c r="L46" i="3" s="1"/>
  <c r="P31" i="6"/>
  <c r="K57" i="3"/>
  <c r="L27" i="8"/>
  <c r="O37" i="4"/>
  <c r="J58" i="3"/>
  <c r="K47" i="3"/>
  <c r="L47" i="3" l="1"/>
  <c r="L57" i="3"/>
  <c r="Q31" i="6"/>
  <c r="Q29" i="5" s="1"/>
  <c r="M43" i="3"/>
  <c r="L45" i="3"/>
  <c r="H25" i="10"/>
  <c r="H17" i="10"/>
  <c r="H46" i="6"/>
  <c r="H10" i="10"/>
  <c r="I39" i="4"/>
  <c r="I35" i="4" s="1"/>
  <c r="H12" i="6"/>
  <c r="P29" i="5"/>
  <c r="P37" i="4"/>
  <c r="K58" i="3"/>
  <c r="L58" i="3" l="1"/>
  <c r="Q37" i="4"/>
  <c r="M46" i="3"/>
  <c r="M47" i="3"/>
  <c r="H19" i="10"/>
  <c r="H18" i="10"/>
  <c r="I41" i="4"/>
  <c r="I43" i="4" s="1"/>
  <c r="I46" i="4" s="1"/>
  <c r="I20" i="10"/>
  <c r="H19" i="6"/>
  <c r="H24" i="10"/>
  <c r="H13" i="10" l="1"/>
  <c r="H12" i="10"/>
  <c r="H48" i="6"/>
  <c r="I26" i="6"/>
  <c r="I10" i="5"/>
  <c r="I33" i="6" s="1"/>
  <c r="I47" i="4"/>
  <c r="I6" i="10" s="1"/>
  <c r="I51" i="4"/>
  <c r="I7" i="5"/>
  <c r="I23" i="10" l="1"/>
  <c r="I11" i="10"/>
  <c r="I28" i="6"/>
  <c r="I16" i="5"/>
  <c r="I11" i="5" s="1"/>
  <c r="I34" i="6"/>
  <c r="I28" i="5"/>
  <c r="I52" i="4"/>
  <c r="I54" i="4"/>
  <c r="I57" i="4"/>
  <c r="I36" i="6" l="1"/>
  <c r="I7" i="10"/>
  <c r="I42" i="6"/>
  <c r="I14" i="10"/>
  <c r="I18" i="8"/>
  <c r="I9" i="8"/>
  <c r="I10" i="8" s="1"/>
  <c r="I17" i="5"/>
  <c r="I31" i="5" s="1"/>
  <c r="I14" i="8" l="1"/>
  <c r="I38" i="5"/>
  <c r="I39" i="5" s="1"/>
  <c r="I32" i="5" l="1"/>
  <c r="I34" i="5" s="1"/>
  <c r="I36" i="5" s="1"/>
  <c r="I19" i="8"/>
  <c r="I20" i="8" s="1"/>
  <c r="I129" i="2"/>
  <c r="I133" i="2" s="1"/>
  <c r="J130" i="2" s="1"/>
  <c r="I41" i="6"/>
  <c r="J35" i="5" l="1"/>
  <c r="I7" i="6"/>
  <c r="I22" i="8"/>
  <c r="J55" i="4"/>
  <c r="J58" i="4" s="1"/>
  <c r="I44" i="6"/>
  <c r="I12" i="6" l="1"/>
  <c r="J39" i="4"/>
  <c r="J35" i="4" s="1"/>
  <c r="I17" i="10"/>
  <c r="I25" i="10"/>
  <c r="I46" i="6"/>
  <c r="I10" i="10"/>
  <c r="I24" i="10" l="1"/>
  <c r="I19" i="6"/>
  <c r="J20" i="10"/>
  <c r="J41" i="4"/>
  <c r="J43" i="4" s="1"/>
  <c r="I19" i="10"/>
  <c r="I18" i="10"/>
  <c r="I13" i="10" l="1"/>
  <c r="I12" i="10"/>
  <c r="I48" i="6"/>
  <c r="J46" i="4"/>
  <c r="J26" i="6"/>
  <c r="J10" i="5"/>
  <c r="J33" i="6" s="1"/>
  <c r="J34" i="6" s="1"/>
  <c r="J23" i="10" l="1"/>
  <c r="J11" i="10"/>
  <c r="J28" i="6"/>
  <c r="J36" i="6" s="1"/>
  <c r="J16" i="5"/>
  <c r="J11" i="5" s="1"/>
  <c r="J9" i="8" s="1"/>
  <c r="J10" i="8" s="1"/>
  <c r="J7" i="5"/>
  <c r="J51" i="4"/>
  <c r="J47" i="4"/>
  <c r="J6" i="10" s="1"/>
  <c r="J17" i="5" l="1"/>
  <c r="J31" i="5" s="1"/>
  <c r="J57" i="4"/>
  <c r="J54" i="4"/>
  <c r="J52" i="4"/>
  <c r="J28" i="5"/>
  <c r="J14" i="8"/>
  <c r="J38" i="5" l="1"/>
  <c r="J39" i="5" s="1"/>
  <c r="J7" i="10"/>
  <c r="J14" i="10"/>
  <c r="J18" i="8"/>
  <c r="J42" i="6"/>
  <c r="J19" i="8" l="1"/>
  <c r="J20" i="8" s="1"/>
  <c r="J22" i="8" s="1"/>
  <c r="J32" i="5"/>
  <c r="J34" i="5" s="1"/>
  <c r="J36" i="5" s="1"/>
  <c r="J129" i="2"/>
  <c r="J133" i="2" s="1"/>
  <c r="K130" i="2" s="1"/>
  <c r="K55" i="4" s="1"/>
  <c r="K58" i="4" s="1"/>
  <c r="J41" i="6"/>
  <c r="J44" i="6" s="1"/>
  <c r="K35" i="5" l="1"/>
  <c r="J7" i="6"/>
  <c r="K39" i="4" s="1"/>
  <c r="K35" i="4" s="1"/>
  <c r="J46" i="6"/>
  <c r="J10" i="10"/>
  <c r="J17" i="10" l="1"/>
  <c r="J25" i="10"/>
  <c r="J12" i="6"/>
  <c r="K41" i="4"/>
  <c r="K43" i="4" s="1"/>
  <c r="K46" i="4" s="1"/>
  <c r="K20" i="10"/>
  <c r="J19" i="10" l="1"/>
  <c r="J18" i="10"/>
  <c r="J24" i="10"/>
  <c r="J19" i="6"/>
  <c r="J13" i="10" s="1"/>
  <c r="K26" i="6"/>
  <c r="K10" i="5"/>
  <c r="K33" i="6" s="1"/>
  <c r="K47" i="4"/>
  <c r="K6" i="10" s="1"/>
  <c r="K51" i="4"/>
  <c r="K7" i="5"/>
  <c r="J12" i="10" l="1"/>
  <c r="J48" i="6"/>
  <c r="K23" i="10"/>
  <c r="K11" i="10"/>
  <c r="K28" i="6"/>
  <c r="K16" i="5"/>
  <c r="K11" i="5" s="1"/>
  <c r="K34" i="6"/>
  <c r="K28" i="5"/>
  <c r="K52" i="4"/>
  <c r="K54" i="4"/>
  <c r="K57" i="4"/>
  <c r="K7" i="10" l="1"/>
  <c r="K36" i="6"/>
  <c r="K42" i="6"/>
  <c r="K14" i="10"/>
  <c r="K18" i="8"/>
  <c r="K9" i="8"/>
  <c r="K10" i="8" s="1"/>
  <c r="K17" i="5"/>
  <c r="K31" i="5" s="1"/>
  <c r="K14" i="8" l="1"/>
  <c r="K38" i="5"/>
  <c r="K39" i="5" s="1"/>
  <c r="K32" i="5" l="1"/>
  <c r="K34" i="5" s="1"/>
  <c r="K36" i="5" s="1"/>
  <c r="K19" i="8"/>
  <c r="K20" i="8" s="1"/>
  <c r="K129" i="2"/>
  <c r="K133" i="2" s="1"/>
  <c r="L130" i="2" s="1"/>
  <c r="K41" i="6"/>
  <c r="K22" i="8" l="1"/>
  <c r="L55" i="4"/>
  <c r="L58" i="4" s="1"/>
  <c r="K44" i="6"/>
  <c r="L35" i="5"/>
  <c r="K7" i="6"/>
  <c r="K46" i="6" l="1"/>
  <c r="K10" i="10"/>
  <c r="K25" i="10"/>
  <c r="K17" i="10"/>
  <c r="K12" i="6"/>
  <c r="L39" i="4"/>
  <c r="L35" i="4" s="1"/>
  <c r="K19" i="10" l="1"/>
  <c r="K18" i="10"/>
  <c r="K19" i="6"/>
  <c r="K24" i="10"/>
  <c r="L41" i="4"/>
  <c r="L43" i="4" s="1"/>
  <c r="L46" i="4" s="1"/>
  <c r="L20" i="10"/>
  <c r="K13" i="10" l="1"/>
  <c r="K12" i="10"/>
  <c r="K48" i="6"/>
  <c r="L26" i="6"/>
  <c r="L10" i="5"/>
  <c r="L33" i="6" s="1"/>
  <c r="L47" i="4"/>
  <c r="L6" i="10" s="1"/>
  <c r="L51" i="4"/>
  <c r="L7" i="5"/>
  <c r="L23" i="10" l="1"/>
  <c r="L11" i="10"/>
  <c r="L28" i="6"/>
  <c r="L16" i="5"/>
  <c r="L11" i="5" s="1"/>
  <c r="L34" i="6"/>
  <c r="L28" i="5"/>
  <c r="L52" i="4"/>
  <c r="L54" i="4"/>
  <c r="L57" i="4"/>
  <c r="L7" i="10" l="1"/>
  <c r="L9" i="8"/>
  <c r="L10" i="8" s="1"/>
  <c r="L14" i="8" s="1"/>
  <c r="L17" i="5"/>
  <c r="L31" i="5" s="1"/>
  <c r="L42" i="6"/>
  <c r="L14" i="10"/>
  <c r="L18" i="8"/>
  <c r="L36" i="6"/>
  <c r="L38" i="5" l="1"/>
  <c r="L39" i="5" s="1"/>
  <c r="L32" i="5" l="1"/>
  <c r="L34" i="5" s="1"/>
  <c r="L36" i="5" s="1"/>
  <c r="L19" i="8"/>
  <c r="L20" i="8" s="1"/>
  <c r="L22" i="8" s="1"/>
  <c r="L129" i="2"/>
  <c r="L133" i="2" s="1"/>
  <c r="M130" i="2" s="1"/>
  <c r="M55" i="4" s="1"/>
  <c r="M58" i="4" s="1"/>
  <c r="L41" i="6"/>
  <c r="L44" i="6" s="1"/>
  <c r="L7" i="6" l="1"/>
  <c r="M35" i="5"/>
  <c r="L46" i="6"/>
  <c r="L10" i="10"/>
  <c r="L12" i="6" l="1"/>
  <c r="M39" i="4"/>
  <c r="M35" i="4" s="1"/>
  <c r="L17" i="10"/>
  <c r="L25" i="10"/>
  <c r="L24" i="10" l="1"/>
  <c r="L19" i="6"/>
  <c r="M20" i="10"/>
  <c r="M41" i="4"/>
  <c r="M43" i="4" s="1"/>
  <c r="L18" i="10"/>
  <c r="L19" i="10"/>
  <c r="L12" i="10" l="1"/>
  <c r="L13" i="10"/>
  <c r="L48" i="6"/>
  <c r="M26" i="6"/>
  <c r="M10" i="5"/>
  <c r="M33" i="6" s="1"/>
  <c r="M34" i="6" s="1"/>
  <c r="M46" i="4"/>
  <c r="M16" i="5" l="1"/>
  <c r="M11" i="5" s="1"/>
  <c r="M9" i="8" s="1"/>
  <c r="M10" i="8" s="1"/>
  <c r="M14" i="8" s="1"/>
  <c r="M28" i="6"/>
  <c r="M36" i="6" s="1"/>
  <c r="M23" i="10"/>
  <c r="M11" i="10"/>
  <c r="M7" i="5"/>
  <c r="M51" i="4"/>
  <c r="M47" i="4"/>
  <c r="M6" i="10" s="1"/>
  <c r="M57" i="4" l="1"/>
  <c r="M54" i="4"/>
  <c r="M52" i="4"/>
  <c r="M28" i="5"/>
  <c r="M42" i="6" s="1"/>
  <c r="M17" i="5"/>
  <c r="M31" i="5" s="1"/>
  <c r="M7" i="10" l="1"/>
  <c r="M14" i="10"/>
  <c r="M18" i="8"/>
  <c r="M38" i="5"/>
  <c r="M39" i="5" s="1"/>
  <c r="M19" i="8" l="1"/>
  <c r="M20" i="8" s="1"/>
  <c r="M22" i="8" s="1"/>
  <c r="M41" i="6"/>
  <c r="M44" i="6" s="1"/>
  <c r="M129" i="2"/>
  <c r="M133" i="2" s="1"/>
  <c r="N130" i="2" s="1"/>
  <c r="N55" i="4" s="1"/>
  <c r="N58" i="4" s="1"/>
  <c r="M32" i="5"/>
  <c r="M34" i="5" s="1"/>
  <c r="M36" i="5" s="1"/>
  <c r="M46" i="6" l="1"/>
  <c r="M10" i="10"/>
  <c r="M7" i="6"/>
  <c r="N35" i="5"/>
  <c r="M12" i="6" l="1"/>
  <c r="M25" i="10"/>
  <c r="M17" i="10"/>
  <c r="N39" i="4"/>
  <c r="N35" i="4" s="1"/>
  <c r="M24" i="10" l="1"/>
  <c r="M19" i="6"/>
  <c r="M18" i="10"/>
  <c r="M19" i="10"/>
  <c r="N41" i="4"/>
  <c r="N43" i="4" s="1"/>
  <c r="N20" i="10"/>
  <c r="N46" i="4" l="1"/>
  <c r="N26" i="6"/>
  <c r="N10" i="5"/>
  <c r="M12" i="10"/>
  <c r="M48" i="6"/>
  <c r="M13" i="10"/>
  <c r="N47" i="4" l="1"/>
  <c r="N6" i="10" s="1"/>
  <c r="N51" i="4"/>
  <c r="N7" i="5"/>
  <c r="N16" i="5"/>
  <c r="N11" i="5" s="1"/>
  <c r="N9" i="8" s="1"/>
  <c r="N10" i="8" s="1"/>
  <c r="N14" i="8" s="1"/>
  <c r="N28" i="6"/>
  <c r="N11" i="10"/>
  <c r="N23" i="10"/>
  <c r="N33" i="6"/>
  <c r="N34" i="6" s="1"/>
  <c r="N17" i="5" l="1"/>
  <c r="N36" i="6"/>
  <c r="N52" i="4"/>
  <c r="N54" i="4"/>
  <c r="N57" i="4"/>
  <c r="N28" i="5"/>
  <c r="N31" i="5" l="1"/>
  <c r="N38" i="5"/>
  <c r="N39" i="5" s="1"/>
  <c r="N14" i="10"/>
  <c r="N18" i="8"/>
  <c r="N42" i="6"/>
  <c r="N7" i="10"/>
  <c r="N32" i="5" l="1"/>
  <c r="N34" i="5" s="1"/>
  <c r="N36" i="5" s="1"/>
  <c r="N41" i="6"/>
  <c r="N44" i="6" s="1"/>
  <c r="N19" i="8"/>
  <c r="N20" i="8" s="1"/>
  <c r="N22" i="8" s="1"/>
  <c r="N129" i="2"/>
  <c r="N133" i="2" s="1"/>
  <c r="O130" i="2" s="1"/>
  <c r="O55" i="4" s="1"/>
  <c r="O58" i="4" s="1"/>
  <c r="N7" i="6" l="1"/>
  <c r="O35" i="5"/>
  <c r="N10" i="10"/>
  <c r="N46" i="6"/>
  <c r="N17" i="10" l="1"/>
  <c r="N25" i="10"/>
  <c r="O39" i="4"/>
  <c r="O35" i="4" s="1"/>
  <c r="N12" i="6"/>
  <c r="N18" i="10" l="1"/>
  <c r="N19" i="10"/>
  <c r="O41" i="4"/>
  <c r="O43" i="4" s="1"/>
  <c r="O20" i="10"/>
  <c r="N19" i="6"/>
  <c r="N24" i="10"/>
  <c r="O46" i="4" l="1"/>
  <c r="O26" i="6"/>
  <c r="O10" i="5"/>
  <c r="O33" i="6" s="1"/>
  <c r="O34" i="6" s="1"/>
  <c r="N48" i="6"/>
  <c r="N13" i="10"/>
  <c r="N12" i="10"/>
  <c r="O51" i="4" l="1"/>
  <c r="O7" i="5"/>
  <c r="O47" i="4"/>
  <c r="O6" i="10" s="1"/>
  <c r="O11" i="10"/>
  <c r="O23" i="10"/>
  <c r="O16" i="5"/>
  <c r="O11" i="5" s="1"/>
  <c r="O9" i="8" s="1"/>
  <c r="O10" i="8" s="1"/>
  <c r="O14" i="8" s="1"/>
  <c r="O28" i="6"/>
  <c r="O36" i="6" s="1"/>
  <c r="O17" i="5" l="1"/>
  <c r="O28" i="5"/>
  <c r="O52" i="4"/>
  <c r="O54" i="4"/>
  <c r="O57" i="4"/>
  <c r="O31" i="5" l="1"/>
  <c r="O38" i="5"/>
  <c r="O39" i="5" s="1"/>
  <c r="O14" i="10"/>
  <c r="O18" i="8"/>
  <c r="O42" i="6"/>
  <c r="O7" i="10"/>
  <c r="O32" i="5" l="1"/>
  <c r="O34" i="5" s="1"/>
  <c r="O36" i="5" s="1"/>
  <c r="O41" i="6"/>
  <c r="O44" i="6" s="1"/>
  <c r="O129" i="2"/>
  <c r="O133" i="2" s="1"/>
  <c r="P130" i="2" s="1"/>
  <c r="P55" i="4" s="1"/>
  <c r="P58" i="4" s="1"/>
  <c r="O19" i="8"/>
  <c r="O20" i="8" s="1"/>
  <c r="O22" i="8" s="1"/>
  <c r="O10" i="10" l="1"/>
  <c r="O46" i="6"/>
  <c r="P35" i="5"/>
  <c r="O7" i="6"/>
  <c r="O12" i="6" s="1"/>
  <c r="P39" i="4" l="1"/>
  <c r="P35" i="4" s="1"/>
  <c r="O17" i="10"/>
  <c r="O25" i="10"/>
  <c r="O24" i="10"/>
  <c r="O19" i="6"/>
  <c r="P20" i="10" l="1"/>
  <c r="P41" i="4"/>
  <c r="O18" i="10"/>
  <c r="O19" i="10"/>
  <c r="O12" i="10"/>
  <c r="O48" i="6"/>
  <c r="O13" i="10"/>
  <c r="P43" i="4" l="1"/>
  <c r="P46" i="4" s="1"/>
  <c r="P7" i="5" s="1"/>
  <c r="P26" i="6" l="1"/>
  <c r="P10" i="5"/>
  <c r="P47" i="4"/>
  <c r="P6" i="10" s="1"/>
  <c r="P51" i="4"/>
  <c r="P28" i="5"/>
  <c r="P42" i="6" s="1"/>
  <c r="P23" i="10" l="1"/>
  <c r="P28" i="6"/>
  <c r="P52" i="4"/>
  <c r="P57" i="4"/>
  <c r="P54" i="4"/>
  <c r="P11" i="10"/>
  <c r="P16" i="5"/>
  <c r="P11" i="5" s="1"/>
  <c r="P33" i="6"/>
  <c r="P34" i="6" s="1"/>
  <c r="P18" i="8"/>
  <c r="P14" i="10"/>
  <c r="P7" i="10" l="1"/>
  <c r="P36" i="6"/>
  <c r="P9" i="8"/>
  <c r="P10" i="8" s="1"/>
  <c r="P14" i="8" s="1"/>
  <c r="P17" i="5"/>
  <c r="P31" i="5" s="1"/>
  <c r="P38" i="5" l="1"/>
  <c r="P39" i="5" s="1"/>
  <c r="P19" i="8" l="1"/>
  <c r="P20" i="8" s="1"/>
  <c r="P22" i="8" s="1"/>
  <c r="P129" i="2"/>
  <c r="P133" i="2" s="1"/>
  <c r="Q130" i="2" s="1"/>
  <c r="Q55" i="4" s="1"/>
  <c r="Q58" i="4" s="1"/>
  <c r="P41" i="6"/>
  <c r="P44" i="6" s="1"/>
  <c r="P32" i="5"/>
  <c r="P34" i="5" s="1"/>
  <c r="P36" i="5" s="1"/>
  <c r="P10" i="10" l="1"/>
  <c r="P46" i="6"/>
  <c r="Q35" i="5"/>
  <c r="P7" i="6"/>
  <c r="P25" i="10" l="1"/>
  <c r="P17" i="10"/>
  <c r="P12" i="6"/>
  <c r="Q39" i="4"/>
  <c r="Q35" i="4" s="1"/>
  <c r="P18" i="10" l="1"/>
  <c r="P19" i="10"/>
  <c r="P19" i="6"/>
  <c r="P24" i="10"/>
  <c r="Q41" i="4"/>
  <c r="Q43" i="4" s="1"/>
  <c r="Q20" i="10"/>
  <c r="S20" i="10" s="1"/>
  <c r="P13" i="10" l="1"/>
  <c r="P48" i="6"/>
  <c r="P12" i="10"/>
  <c r="Q26" i="6"/>
  <c r="Q10" i="5"/>
  <c r="Q33" i="6" s="1"/>
  <c r="Q34" i="6" s="1"/>
  <c r="Q46" i="4"/>
  <c r="Q23" i="10" l="1"/>
  <c r="S23" i="10" s="1"/>
  <c r="Q11" i="10"/>
  <c r="S11" i="10" s="1"/>
  <c r="L28" i="8"/>
  <c r="Q28" i="6"/>
  <c r="Q36" i="6" s="1"/>
  <c r="Q16" i="5"/>
  <c r="Q11" i="5" s="1"/>
  <c r="Q9" i="8" s="1"/>
  <c r="Q10" i="8" s="1"/>
  <c r="G8" i="9" s="1" a="1"/>
  <c r="Q51" i="4"/>
  <c r="Q47" i="4"/>
  <c r="Q6" i="10" s="1"/>
  <c r="S6" i="10" s="1"/>
  <c r="Q7" i="5"/>
  <c r="D11" i="9" a="1"/>
  <c r="G10" i="9" a="1"/>
  <c r="D22" i="9" a="1"/>
  <c r="L30" i="8" l="1"/>
  <c r="L31" i="8" s="1"/>
  <c r="L32" i="8" s="1"/>
  <c r="L35" i="8" s="1"/>
  <c r="F22" i="9" a="1"/>
  <c r="Q57" i="4"/>
  <c r="Q28" i="5"/>
  <c r="Q52" i="4"/>
  <c r="Q54" i="4"/>
  <c r="Q17" i="5"/>
  <c r="Q31" i="5" s="1"/>
  <c r="D10" i="9" a="1"/>
  <c r="D21" i="9" a="1"/>
  <c r="H10" i="9" a="1"/>
  <c r="I8" i="9" a="1"/>
  <c r="I23" i="9" a="1"/>
  <c r="F23" i="9" a="1"/>
  <c r="J22" i="9" a="1"/>
  <c r="G12" i="9" a="1"/>
  <c r="I11" i="9" a="1"/>
  <c r="H6" i="9" a="1"/>
  <c r="F24" i="9" a="1"/>
  <c r="F26" i="9" a="1"/>
  <c r="H7" i="9" a="1"/>
  <c r="G24" i="9" a="1"/>
  <c r="D24" i="9" a="1"/>
  <c r="I22" i="9" a="1"/>
  <c r="J12" i="9" a="1"/>
  <c r="E10" i="9" a="1"/>
  <c r="D25" i="9" a="1"/>
  <c r="D23" i="9" a="1"/>
  <c r="G22" i="9" a="1"/>
  <c r="D6" i="9" a="1"/>
  <c r="J25" i="9" a="1"/>
  <c r="I25" i="9" a="1"/>
  <c r="D8" i="9" a="1"/>
  <c r="H25" i="9" a="1"/>
  <c r="D26" i="9" a="1"/>
  <c r="I12" i="9" a="1"/>
  <c r="D20" i="9" a="1"/>
  <c r="Q14" i="8"/>
  <c r="D27" i="8" s="1"/>
  <c r="I7" i="9" a="1"/>
  <c r="F20" i="9" a="1"/>
  <c r="J23" i="9" a="1"/>
  <c r="J10" i="9" a="1"/>
  <c r="G23" i="9" a="1"/>
  <c r="F7" i="9" a="1"/>
  <c r="D7" i="9" a="1"/>
  <c r="F12" i="9" a="1"/>
  <c r="F9" i="9" a="1"/>
  <c r="H22" i="9" a="1"/>
  <c r="H24" i="9" a="1"/>
  <c r="F8" i="9" a="1"/>
  <c r="E8" i="9" a="1"/>
  <c r="I9" i="9" a="1"/>
  <c r="H9" i="9" a="1"/>
  <c r="J21" i="9" a="1"/>
  <c r="I24" i="9" a="1"/>
  <c r="H23" i="9" a="1"/>
  <c r="G25" i="9" a="1"/>
  <c r="J26" i="9" a="1"/>
  <c r="H12" i="9" a="1"/>
  <c r="J6" i="9" a="1"/>
  <c r="E6" i="9" a="1"/>
  <c r="E7" i="9" a="1"/>
  <c r="D9" i="9" a="1"/>
  <c r="E12" i="9" a="1"/>
  <c r="I21" i="9" a="1"/>
  <c r="G21" i="9" a="1"/>
  <c r="J9" i="9" a="1"/>
  <c r="E26" i="9" a="1"/>
  <c r="F6" i="9" a="1"/>
  <c r="I6" i="9" a="1"/>
  <c r="I20" i="9" a="1"/>
  <c r="F11" i="9" a="1"/>
  <c r="G9" i="9" a="1"/>
  <c r="E24" i="9" a="1"/>
  <c r="E11" i="9" a="1"/>
  <c r="J11" i="9" a="1"/>
  <c r="J24" i="9" a="1"/>
  <c r="J8" i="9" a="1"/>
  <c r="H21" i="9" a="1"/>
  <c r="E20" i="9" a="1"/>
  <c r="E23" i="9" a="1"/>
  <c r="J20" i="9" a="1"/>
  <c r="I10" i="9" a="1"/>
  <c r="H20" i="9" a="1"/>
  <c r="F21" i="9" a="1"/>
  <c r="G7" i="9" a="1"/>
  <c r="E22" i="9" a="1"/>
  <c r="G11" i="9" a="1"/>
  <c r="E25" i="9" a="1"/>
  <c r="F10" i="9" a="1"/>
  <c r="J7" i="9" a="1"/>
  <c r="H8" i="9" a="1"/>
  <c r="H11" i="9" a="1"/>
  <c r="G20" i="9" a="1"/>
  <c r="G26" i="9" a="1"/>
  <c r="E21" i="9" a="1"/>
  <c r="F25" i="9" a="1"/>
  <c r="I26" i="9" a="1"/>
  <c r="G6" i="9" a="1"/>
  <c r="H26" i="9" a="1"/>
  <c r="E9" i="9" a="1"/>
  <c r="D12" i="9" a="1"/>
  <c r="Q7" i="10" l="1"/>
  <c r="S7" i="10" s="1"/>
  <c r="D28" i="8"/>
  <c r="D35" i="8" s="1"/>
  <c r="D40" i="8" s="1"/>
  <c r="S28" i="8" s="1"/>
  <c r="S27" i="8" s="1"/>
  <c r="D29" i="8"/>
  <c r="D36" i="8" s="1"/>
  <c r="D41" i="8" s="1"/>
  <c r="S32" i="8" s="1"/>
  <c r="S31" i="8" s="1"/>
  <c r="Q14" i="10"/>
  <c r="S14" i="10" s="1"/>
  <c r="Q18" i="8"/>
  <c r="Q42" i="6"/>
  <c r="Q38" i="5"/>
  <c r="Q39" i="5" s="1"/>
  <c r="Q32" i="5" l="1"/>
  <c r="Q34" i="5" s="1"/>
  <c r="Q36" i="5" s="1"/>
  <c r="Q7" i="6" s="1"/>
  <c r="Q19" i="8"/>
  <c r="Q20" i="8" s="1"/>
  <c r="Q129" i="2"/>
  <c r="Q133" i="2" s="1"/>
  <c r="Q41" i="6"/>
  <c r="Q44" i="6" s="1"/>
  <c r="Q12" i="6" l="1"/>
  <c r="Q25" i="10"/>
  <c r="S25" i="10" s="1"/>
  <c r="Q17" i="10"/>
  <c r="I39" i="9" a="1"/>
  <c r="F35" i="9" a="1"/>
  <c r="E36" i="9" a="1"/>
  <c r="D39" i="9" a="1"/>
  <c r="I38" i="9" a="1"/>
  <c r="F38" i="9" a="1"/>
  <c r="D38" i="9" a="1"/>
  <c r="H35" i="9" a="1"/>
  <c r="J35" i="9" a="1"/>
  <c r="D35" i="9" a="1"/>
  <c r="F36" i="9" a="1"/>
  <c r="H39" i="9" a="1"/>
  <c r="H34" i="9" a="1"/>
  <c r="G40" i="9" a="1"/>
  <c r="H38" i="9" a="1"/>
  <c r="I35" i="9" a="1"/>
  <c r="H37" i="9" a="1"/>
  <c r="E39" i="9" a="1"/>
  <c r="J38" i="9" a="1"/>
  <c r="I34" i="9" a="1"/>
  <c r="E40" i="9" a="1"/>
  <c r="G34" i="9" a="1"/>
  <c r="Q22" i="8"/>
  <c r="P27" i="8" s="1"/>
  <c r="D30" i="8" s="1"/>
  <c r="D37" i="8" s="1"/>
  <c r="D42" i="8" s="1"/>
  <c r="S37" i="8" s="1"/>
  <c r="S36" i="8" s="1"/>
  <c r="F40" i="9" a="1"/>
  <c r="I36" i="9" a="1"/>
  <c r="G36" i="9" a="1"/>
  <c r="I37" i="9" a="1"/>
  <c r="G39" i="9" a="1"/>
  <c r="E38" i="9" a="1"/>
  <c r="D34" i="9" a="1"/>
  <c r="G35" i="9" a="1"/>
  <c r="E34" i="9" a="1"/>
  <c r="F39" i="9" a="1"/>
  <c r="F37" i="9" a="1"/>
  <c r="J36" i="9" a="1"/>
  <c r="E35" i="9" a="1"/>
  <c r="J34" i="9" a="1"/>
  <c r="G37" i="9" a="1"/>
  <c r="J40" i="9" a="1"/>
  <c r="D36" i="9" a="1"/>
  <c r="J39" i="9" a="1"/>
  <c r="I40" i="9" a="1"/>
  <c r="D40" i="9" a="1"/>
  <c r="P29" i="8"/>
  <c r="P32" i="8" s="1"/>
  <c r="E37" i="9" a="1"/>
  <c r="J37" i="9" a="1"/>
  <c r="G38" i="9" a="1"/>
  <c r="H40" i="9" a="1"/>
  <c r="F34" i="9" a="1"/>
  <c r="D37" i="9" a="1"/>
  <c r="H36" i="9" a="1"/>
  <c r="Q46" i="6"/>
  <c r="Q10" i="10"/>
  <c r="S10" i="10" s="1"/>
  <c r="Q19" i="6" l="1"/>
  <c r="Q24" i="10"/>
  <c r="S24" i="10" s="1"/>
  <c r="S17" i="10"/>
  <c r="Q18" i="10"/>
  <c r="S18" i="10" s="1"/>
  <c r="Q19" i="10"/>
  <c r="S19" i="10" s="1"/>
  <c r="Q13" i="10" l="1"/>
  <c r="S13" i="10" s="1"/>
  <c r="Q12" i="10"/>
  <c r="S12" i="10" s="1"/>
  <c r="Q4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200-000001000000}">
      <text>
        <r>
          <rPr>
            <sz val="10"/>
            <rFont val="Arial"/>
            <family val="2"/>
          </rPr>
          <t>Carlos Arizcuren Elizondo:
Source: KO FY2025 10-K, Note 11 (Loans and Notes Payable). https://www.sec.gov/cgi-bin/browse-edgar?action=getcompany&amp;CIK=KO</t>
        </r>
      </text>
    </comment>
    <comment ref="C6" authorId="0" shapeId="0" xr:uid="{00000000-0006-0000-0200-000002000000}">
      <text>
        <r>
          <rPr>
            <sz val="10"/>
            <rFont val="Arial"/>
            <family val="2"/>
          </rPr>
          <t>Carlos Arizcuren Elizondo:
Source: KO FY2025 10-K, Note 11.</t>
        </r>
      </text>
    </comment>
    <comment ref="C8" authorId="0" shapeId="0" xr:uid="{00000000-0006-0000-0200-000003000000}">
      <text>
        <r>
          <rPr>
            <sz val="10"/>
            <rFont val="Arial"/>
            <family val="2"/>
          </rPr>
          <t>Carlos Arizcuren Elizondo:
Source: KO FY2025 10-K, Note 11 (Long-Term Debt table).</t>
        </r>
      </text>
    </comment>
    <comment ref="C9" authorId="0" shapeId="0" xr:uid="{00000000-0006-0000-0200-000004000000}">
      <text>
        <r>
          <rPr>
            <sz val="10"/>
            <rFont val="Arial"/>
            <family val="2"/>
          </rPr>
          <t>Carlos Arizcuren Elizondo:
Source: KO FY2025 10-K, Note 11.</t>
        </r>
      </text>
    </comment>
    <comment ref="C10" authorId="0" shapeId="0" xr:uid="{00000000-0006-0000-0200-000005000000}">
      <text>
        <r>
          <rPr>
            <sz val="10"/>
            <rFont val="Arial"/>
            <family val="2"/>
          </rPr>
          <t>Carlos Arizcuren Elizondo:
Source: KO FY2025 10-K, Note 11.</t>
        </r>
      </text>
    </comment>
    <comment ref="C11" authorId="0" shapeId="0" xr:uid="{00000000-0006-0000-0200-000006000000}">
      <text>
        <r>
          <rPr>
            <sz val="10"/>
            <rFont val="Arial"/>
            <family val="2"/>
          </rPr>
          <t>Carlos Arizcuren Elizondo:
Source: KO FY2025 10-K, Note 11.</t>
        </r>
      </text>
    </comment>
    <comment ref="C12" authorId="0" shapeId="0" xr:uid="{00000000-0006-0000-0200-000007000000}">
      <text>
        <r>
          <rPr>
            <sz val="10"/>
            <rFont val="Arial"/>
            <family val="2"/>
          </rPr>
          <t>Carlos Arizcuren Elizondo:
Source: KO FY2025 10-K, Note 11.</t>
        </r>
      </text>
    </comment>
    <comment ref="C13" authorId="0" shapeId="0" xr:uid="{00000000-0006-0000-0200-000008000000}">
      <text>
        <r>
          <rPr>
            <sz val="10"/>
            <rFont val="Arial"/>
            <family val="2"/>
          </rPr>
          <t>Carlos Arizcuren Elizondo:
Source: KO FY2025 10-K, Note 11.</t>
        </r>
      </text>
    </comment>
    <comment ref="C15" authorId="0" shapeId="0" xr:uid="{00000000-0006-0000-0200-000009000000}">
      <text>
        <r>
          <rPr>
            <sz val="10"/>
            <rFont val="Arial"/>
            <family val="2"/>
          </rPr>
          <t>Carlos Arizcuren Elizondo:
Source: KO FY2025 10-K, Note 11. Current portion $1,822M.</t>
        </r>
      </text>
    </comment>
    <comment ref="C20" authorId="0" shapeId="0" xr:uid="{00000000-0006-0000-0200-00000A000000}">
      <text>
        <r>
          <rPr>
            <sz val="10"/>
            <rFont val="Arial"/>
            <family val="2"/>
          </rPr>
          <t>Carlos Arizcuren Elizondo:
Source: KO FY2025 10-K, Note 10 (Leases).</t>
        </r>
      </text>
    </comment>
    <comment ref="C21" authorId="0" shapeId="0" xr:uid="{00000000-0006-0000-0200-00000B000000}">
      <text>
        <r>
          <rPr>
            <sz val="10"/>
            <rFont val="Arial"/>
            <family val="2"/>
          </rPr>
          <t>Carlos Arizcuren Elizondo:
Source: KO FY2025 10-K, Note 10.</t>
        </r>
      </text>
    </comment>
    <comment ref="C22" authorId="0" shapeId="0" xr:uid="{00000000-0006-0000-0200-00000C000000}">
      <text>
        <r>
          <rPr>
            <sz val="10"/>
            <rFont val="Arial"/>
            <family val="2"/>
          </rPr>
          <t>Carlos Arizcuren Elizondo:
Source: KO FY2025 10-K, Note 10.</t>
        </r>
      </text>
    </comment>
    <comment ref="C24" authorId="0" shapeId="0" xr:uid="{00000000-0006-0000-0200-00000D000000}">
      <text>
        <r>
          <rPr>
            <sz val="10"/>
            <rFont val="Arial"/>
            <family val="2"/>
          </rPr>
          <t>Carlos Arizcuren Elizondo:
Source: KO FY2025 10-K, Note 10. WA remaining term 9 yrs.</t>
        </r>
      </text>
    </comment>
    <comment ref="C25" authorId="0" shapeId="0" xr:uid="{00000000-0006-0000-0200-00000E000000}">
      <text>
        <r>
          <rPr>
            <sz val="10"/>
            <rFont val="Arial"/>
            <family val="2"/>
          </rPr>
          <t>Carlos Arizcuren Elizondo:
Source: KO FY2025 10-K, Note 10. Lease cost FY25 $405M, FY24 $362M, FY23 $397M.</t>
        </r>
      </text>
    </comment>
    <comment ref="C29" authorId="0" shapeId="0" xr:uid="{00000000-0006-0000-0200-00000F000000}">
      <text>
        <r>
          <rPr>
            <sz val="10"/>
            <rFont val="Arial"/>
            <family val="2"/>
          </rPr>
          <t>Carlos Arizcuren Elizondo:
Source: KO FY2025 10-K, Note 11 (LTD maturities).</t>
        </r>
      </text>
    </comment>
    <comment ref="D29" authorId="0" shapeId="0" xr:uid="{00000000-0006-0000-0200-000011000000}">
      <text>
        <r>
          <rPr>
            <sz val="10"/>
            <rFont val="Arial"/>
            <family val="2"/>
          </rPr>
          <t>Carlos Arizcuren Elizondo:
Source: KO FY2025 10-K, Note 10 (lease maturities).</t>
        </r>
      </text>
    </comment>
    <comment ref="D36" authorId="0" shapeId="0" xr:uid="{00000000-0006-0000-0200-000012000000}">
      <text>
        <r>
          <rPr>
            <sz val="10"/>
            <rFont val="Arial"/>
            <family val="2"/>
          </rPr>
          <t>Carlos Arizcuren Elizondo:
Source: KO FY2025 10-K, Note 10. Imputed interest $297M.</t>
        </r>
      </text>
    </comment>
    <comment ref="C40" authorId="0" shapeId="0" xr:uid="{00000000-0006-0000-0200-000010000000}">
      <text>
        <r>
          <rPr>
            <sz val="10"/>
            <rFont val="Arial"/>
            <family val="2"/>
          </rPr>
          <t>Carlos Arizcuren Elizondo:
Refinancing assumption: % of maturing LTD that is reissued. 100% = flat balance.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33" authorId="0" shapeId="0" xr:uid="{00000000-0006-0000-0300-000001000000}">
      <text>
        <r>
          <rPr>
            <sz val="10"/>
            <rFont val="Arial"/>
            <family val="2"/>
          </rPr>
          <t>Carlos Arizcuren Elizondo:
Sum of CR abnormal loss (25), asset write-off (27), unrealized investments (29), other one-time items (30). Negative = expense. Projection set to 0 (non-recurring, not forecastable).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4" authorId="0" shapeId="0" xr:uid="{00000000-0006-0000-0600-00000F000000}">
      <text>
        <r>
          <rPr>
            <sz val="10"/>
            <rFont val="Arial"/>
            <family val="2"/>
          </rPr>
          <t>Carlos:
Effective tax rate Keurig DrPepper 10k</t>
        </r>
      </text>
    </comment>
    <comment ref="D5" authorId="0" shapeId="0" xr:uid="{00000000-0006-0000-0600-000002000000}">
      <text>
        <r>
          <rPr>
            <sz val="10"/>
            <rFont val="Arial"/>
            <family val="2"/>
          </rPr>
          <t>Valor fijo = precio 92.71 × 4,302,549,000 acciones (último dato guardado del tipo 'Acciones'; el campo Market cap no estaba en caché).</t>
        </r>
      </text>
    </comment>
    <comment ref="J5" authorId="0" shapeId="0" xr:uid="{00000000-0006-0000-0600-00000B000000}">
      <text>
        <r>
          <rPr>
            <sz val="10"/>
            <rFont val="Arial"/>
            <family val="2"/>
          </rPr>
          <t>Valor fijo = precio 135.77 × 1,362,741,000 acciones (último dato guardado; el campo Market cap no estaba en caché).</t>
        </r>
      </text>
    </comment>
    <comment ref="M5" authorId="0" shapeId="0" xr:uid="{00000000-0006-0000-0600-000010000000}">
      <text>
        <r>
          <rPr>
            <sz val="10"/>
            <rFont val="Arial"/>
            <family val="2"/>
          </rPr>
          <t>Carlos:
Reported tax Pepsico 10k</t>
        </r>
      </text>
    </comment>
    <comment ref="J6" authorId="0" shapeId="0" xr:uid="{00000000-0006-0000-0600-00000C000000}">
      <text>
        <r>
          <rPr>
            <sz val="10"/>
            <rFont val="Arial"/>
            <family val="2"/>
          </rPr>
          <t>Valor fijo = precio 46.19 × 1,956,016,000 acciones (último dato guardado; el campo Market cap no estaba en caché).</t>
        </r>
      </text>
    </comment>
    <comment ref="M6" authorId="0" shapeId="0" xr:uid="{00000000-0006-0000-0600-000011000000}">
      <text>
        <r>
          <rPr>
            <sz val="10"/>
            <rFont val="Arial"/>
            <family val="2"/>
          </rPr>
          <t>Carlos:
Effective tax rate Monster 10k</t>
        </r>
      </text>
    </comment>
    <comment ref="J7" authorId="0" shapeId="0" xr:uid="{00000000-0006-0000-0600-00000D000000}">
      <text>
        <r>
          <rPr>
            <sz val="10"/>
            <rFont val="Arial"/>
            <family val="2"/>
          </rPr>
          <t>Valor fijo = precio 28.47 × 253,035,000 acciones (último dato guardado; el campo Market cap no estaba en caché).</t>
        </r>
      </text>
    </comment>
    <comment ref="M7" authorId="0" shapeId="0" xr:uid="{00000000-0006-0000-0600-000012000000}">
      <text>
        <r>
          <rPr>
            <sz val="10"/>
            <rFont val="Arial"/>
            <family val="2"/>
          </rPr>
          <t xml:space="preserve">Carlos:
Effective tax rate Celsius holdings 10k </t>
        </r>
      </text>
    </comment>
    <comment ref="N7" authorId="0" shapeId="0" xr:uid="{00000000-0006-0000-0600-000014000000}">
      <text>
        <r>
          <rPr>
            <sz val="10"/>
            <rFont val="Arial"/>
            <family val="2"/>
          </rPr>
          <t>Carlos:
Removed, is not comparable enough</t>
        </r>
      </text>
    </comment>
    <comment ref="D8" authorId="0" shapeId="0" xr:uid="{00000000-0006-0000-0600-000003000000}">
      <text>
        <r>
          <rPr>
            <sz val="10"/>
            <rFont val="Arial"/>
            <family val="2"/>
          </rPr>
          <t>Carlos:
Constant leverage ratio (Harris-Pringle/Miles-Ezzell)</t>
        </r>
      </text>
    </comment>
    <comment ref="J8" authorId="0" shapeId="0" xr:uid="{00000000-0006-0000-0600-00000E000000}">
      <text>
        <r>
          <rPr>
            <sz val="10"/>
            <rFont val="Arial"/>
            <family val="2"/>
          </rPr>
          <t>Valor fijo = precio 36.15 × 93,615,300 acciones (último dato guardado; el campo Market cap no estaba en caché).</t>
        </r>
      </text>
    </comment>
    <comment ref="M8" authorId="0" shapeId="0" xr:uid="{00000000-0006-0000-0600-000013000000}">
      <text>
        <r>
          <rPr>
            <sz val="10"/>
            <rFont val="Arial"/>
            <family val="2"/>
          </rPr>
          <t>Carlos:
Effective tax rate National Beverage 10k</t>
        </r>
      </text>
    </comment>
    <comment ref="D12" authorId="0" shapeId="0" xr:uid="{00000000-0006-0000-0600-000004000000}">
      <text>
        <r>
          <rPr>
            <sz val="10"/>
            <rFont val="Arial"/>
            <family val="2"/>
          </rPr>
          <t>Carlos:
Normalized 10Y US Treasury yield (long-term avg ~4.25%). Spot on 22-Oct-2026 ≈ 5.0% (Yahoo Finance, https://finance.yahoo.com/markets/live/stock-market-today-thursday-october-22-dow-sp-500-nasdaq-tesla-meta-112217857.html). Previous input: 4.98%.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3" authorId="0" shapeId="0" xr:uid="{00000000-0006-0000-0700-000002000000}">
      <text>
        <r>
          <rPr>
            <sz val="10"/>
            <rFont val="Arial"/>
            <family val="2"/>
          </rPr>
          <t>Carlos:
Source: Bloomberg BS (KO US), BS_INVEST_IN_ASSOC_CO, FY2025 = 20,235 USD mm. Equity-method stakes (CCEP, Coca-Cola FEMSA, HBC, CCBJI, Monster, etc.). Their income (CR!G22, 2,031 in FY2025) sits below EBIT, so it is NOT in FCFF; added here at book value (conservative; market value is higher). Not added to DDM, whose payouts already include dividends received from associates.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<sst xmlns="http://schemas.openxmlformats.org/spreadsheetml/2006/main" count="2056" uniqueCount="1349">
  <si>
    <t>Carlos Arizcuren Elizondo</t>
  </si>
  <si>
    <t>Table of Contents</t>
  </si>
  <si>
    <t>Drivers and Assumptions</t>
  </si>
  <si>
    <t>3-Statement Financial Analysis</t>
  </si>
  <si>
    <t>Debt scheudle chart</t>
  </si>
  <si>
    <t>Weighted Average Cost of Capital</t>
  </si>
  <si>
    <t>DCF - Exit multiple and Perpetual Growth</t>
  </si>
  <si>
    <t>Dividend Discount Model</t>
  </si>
  <si>
    <t>Sensitivity Charts</t>
  </si>
  <si>
    <t>Football Field</t>
  </si>
  <si>
    <t>Ratios</t>
  </si>
  <si>
    <t>Legend</t>
  </si>
  <si>
    <t>Inputs</t>
  </si>
  <si>
    <t>Formulas</t>
  </si>
  <si>
    <t>References</t>
  </si>
  <si>
    <t>Data</t>
  </si>
  <si>
    <t>This document has been done exclusively for personal use, and without Coca-Cola's supervision. May contain errors.</t>
  </si>
  <si>
    <t>Revenue Drivers</t>
  </si>
  <si>
    <t>Base Case</t>
  </si>
  <si>
    <t>Growth by segments</t>
  </si>
  <si>
    <t>Upside</t>
  </si>
  <si>
    <t>EMEA</t>
  </si>
  <si>
    <t>Base</t>
  </si>
  <si>
    <t>Latin America</t>
  </si>
  <si>
    <t>Downside</t>
  </si>
  <si>
    <t>North America</t>
  </si>
  <si>
    <t>Asia Pacific</t>
  </si>
  <si>
    <t>Upside Case (+0.5%)</t>
  </si>
  <si>
    <t>Downside Case (-0.5%)</t>
  </si>
  <si>
    <t>Active Case</t>
  </si>
  <si>
    <t>Cost Drivers</t>
  </si>
  <si>
    <t>Gross Profit  (Margin %)</t>
  </si>
  <si>
    <t>Active</t>
  </si>
  <si>
    <t>SG&amp;A to Sales %</t>
  </si>
  <si>
    <t>D&amp;A to Sales %</t>
  </si>
  <si>
    <t>Mergers and Acquisitions</t>
  </si>
  <si>
    <t>Restructuring</t>
  </si>
  <si>
    <t>Tax Rate</t>
  </si>
  <si>
    <t>Structure Drivers</t>
  </si>
  <si>
    <t>Days Sales Outstanding (DSO)</t>
  </si>
  <si>
    <t>DSO Scenario</t>
  </si>
  <si>
    <t>Accounts Payable % of revenue</t>
  </si>
  <si>
    <t>AP% Scenario</t>
  </si>
  <si>
    <t>Days Inventory Outstanding (DIO)</t>
  </si>
  <si>
    <t>DIO Scenario</t>
  </si>
  <si>
    <t>Accruals % of revenue</t>
  </si>
  <si>
    <t>Accruals Scenario</t>
  </si>
  <si>
    <t>Taxes Payable % of tax expense</t>
  </si>
  <si>
    <t>Taxes Pay. Scenario</t>
  </si>
  <si>
    <t>CapEx % of Revenue</t>
  </si>
  <si>
    <t>Other Drivers</t>
  </si>
  <si>
    <t>Dilution Ratio</t>
  </si>
  <si>
    <t>Dividend Payout Ratio</t>
  </si>
  <si>
    <t>SBC % of Revenue</t>
  </si>
  <si>
    <t>Deferred taxes % of income taxes</t>
  </si>
  <si>
    <t>Other Current Assets/Other LT items</t>
  </si>
  <si>
    <t>Share Buybacks % of Net Income</t>
  </si>
  <si>
    <t>Cash for buybacks</t>
  </si>
  <si>
    <t>Basic Shares Outstanding</t>
  </si>
  <si>
    <t>Estimated share price</t>
  </si>
  <si>
    <t>Share Growth</t>
  </si>
  <si>
    <t>Number of Shares repurschased</t>
  </si>
  <si>
    <t>LTD / EBITDA (Leverage Target)</t>
  </si>
  <si>
    <t>Target Minimum Cash</t>
  </si>
  <si>
    <t>Yield on Cash &amp; STI</t>
  </si>
  <si>
    <t>Cost of  LTD</t>
  </si>
  <si>
    <t>1. Current Debt Summary (as of 12/31/2025)</t>
  </si>
  <si>
    <t>Instrument</t>
  </si>
  <si>
    <t>Amount</t>
  </si>
  <si>
    <t>Avg Rate</t>
  </si>
  <si>
    <t>Maturity</t>
  </si>
  <si>
    <t>Commercial paper</t>
  </si>
  <si>
    <t>&lt;1 yr</t>
  </si>
  <si>
    <t>Lines of credit / other ST</t>
  </si>
  <si>
    <t>Short-term borrowings (CP + LOC)</t>
  </si>
  <si>
    <t>U.S. dollar notes due 2027-2093</t>
  </si>
  <si>
    <t>U.S. dollar debentures due 2026-2098</t>
  </si>
  <si>
    <t>Euro notes due 2026-2053</t>
  </si>
  <si>
    <t>Swiss franc notes due 2028</t>
  </si>
  <si>
    <t>Other, due through 2098</t>
  </si>
  <si>
    <t>Fair value adjustments</t>
  </si>
  <si>
    <t>Total long-term debt (incl. current)</t>
  </si>
  <si>
    <t>Less: current portion of LTD</t>
  </si>
  <si>
    <t>Noncurrent long-term debt</t>
  </si>
  <si>
    <t>2. Operating Leases (as of 12/31/2025)</t>
  </si>
  <si>
    <t>Item</t>
  </si>
  <si>
    <t>Operating lease ROU assets</t>
  </si>
  <si>
    <t>Current portion of lease liabilities</t>
  </si>
  <si>
    <t>Noncurrent portion of lease liabilities</t>
  </si>
  <si>
    <t>Total operating lease liabilities</t>
  </si>
  <si>
    <t>Weighted-avg discount rate</t>
  </si>
  <si>
    <t>Annual operating lease cost (2025)</t>
  </si>
  <si>
    <t>3. Maturity Schedule</t>
  </si>
  <si>
    <t>Year</t>
  </si>
  <si>
    <t>LTD Maturities</t>
  </si>
  <si>
    <t>Lease Payments</t>
  </si>
  <si>
    <t>Thereafter</t>
  </si>
  <si>
    <t>Total lease payments</t>
  </si>
  <si>
    <t>Less: imputed interest</t>
  </si>
  <si>
    <t>Total lease liabilities (PV)</t>
  </si>
  <si>
    <t>4. Projected Roll-Forward (Target Leverage)</t>
  </si>
  <si>
    <t>Target LTD / EBITDA</t>
  </si>
  <si>
    <t>Long-Term Debt</t>
  </si>
  <si>
    <t xml:space="preserve">  Opening balance</t>
  </si>
  <si>
    <t xml:space="preserve">  Less: maturities (repayments)</t>
  </si>
  <si>
    <t xml:space="preserve">  Closing balance = Target</t>
  </si>
  <si>
    <t xml:space="preserve">  Interest expense @ 3.3%</t>
  </si>
  <si>
    <t>Lease/Sales %</t>
  </si>
  <si>
    <t>Pmt/Balance %</t>
  </si>
  <si>
    <t>Operating Leases (% of Sales)</t>
  </si>
  <si>
    <t xml:space="preserve">  Interest @ 3.9%</t>
  </si>
  <si>
    <t xml:space="preserve">  Less: lease payment</t>
  </si>
  <si>
    <t>Total debt (LTD + leases + CP)</t>
  </si>
  <si>
    <t>Total interest expense</t>
  </si>
  <si>
    <t>Income Statement</t>
  </si>
  <si>
    <t>Total Revenue</t>
  </si>
  <si>
    <t xml:space="preserve">  EMEA</t>
  </si>
  <si>
    <t>YoY growth %</t>
  </si>
  <si>
    <t xml:space="preserve">  Latin America</t>
  </si>
  <si>
    <t xml:space="preserve">  North America</t>
  </si>
  <si>
    <t xml:space="preserve">  Asia Pacific</t>
  </si>
  <si>
    <t xml:space="preserve">  Bottling &amp; Other</t>
  </si>
  <si>
    <t>Cost of Goods Sold (COGS)</t>
  </si>
  <si>
    <t>Gross Profit</t>
  </si>
  <si>
    <t>Gross Profit Margin %</t>
  </si>
  <si>
    <t>SG&amp;A expenses</t>
  </si>
  <si>
    <t>SG&amp;A % of Revenue</t>
  </si>
  <si>
    <t>Depreciation &amp; Amortization</t>
  </si>
  <si>
    <t>Included on SG&amp;A expenses</t>
  </si>
  <si>
    <t>D&amp;A % of Revenue</t>
  </si>
  <si>
    <t>Operating income (EBIT)</t>
  </si>
  <si>
    <t>EBIT % of Revenue</t>
  </si>
  <si>
    <t>Non-operation expenses</t>
  </si>
  <si>
    <t>Restructuring charges</t>
  </si>
  <si>
    <t>Mergers &amp; acquisitions</t>
  </si>
  <si>
    <t>Other non-recurring items</t>
  </si>
  <si>
    <t>Net interest expense</t>
  </si>
  <si>
    <t>Paper notes</t>
  </si>
  <si>
    <t>LT Debt</t>
  </si>
  <si>
    <t>Lease Liabilities</t>
  </si>
  <si>
    <t>Interest on Cashs and STI</t>
  </si>
  <si>
    <t>Income before taxes (EBT)</t>
  </si>
  <si>
    <t>Income taxes</t>
  </si>
  <si>
    <t>Tax % of EBT</t>
  </si>
  <si>
    <t>Net Income</t>
  </si>
  <si>
    <t>Net Income % of Revenue</t>
  </si>
  <si>
    <t>Minority &amp; Non-controlling interest</t>
  </si>
  <si>
    <t>Net Income GAAP</t>
  </si>
  <si>
    <t>Net Income GAAP % of Revenue</t>
  </si>
  <si>
    <t>EPS</t>
  </si>
  <si>
    <t>Diluted EPS</t>
  </si>
  <si>
    <t>Diluted Shares Outstanding</t>
  </si>
  <si>
    <t>EBITDA</t>
  </si>
  <si>
    <t>EBITDA Margin %</t>
  </si>
  <si>
    <t>Cash Flow Statement</t>
  </si>
  <si>
    <t>Cash From Operations (CFO)</t>
  </si>
  <si>
    <t>Depreciation &amp; Amortisation</t>
  </si>
  <si>
    <t>Stock-Based Compensation (SBC)</t>
  </si>
  <si>
    <t>Deferred Taxes</t>
  </si>
  <si>
    <t>ΔNWC</t>
  </si>
  <si>
    <t>ΔAccounts Receivable (AR)</t>
  </si>
  <si>
    <t>ΔInventory</t>
  </si>
  <si>
    <t>ΔAccounts Payable (AP)</t>
  </si>
  <si>
    <t>ΔAccruals</t>
  </si>
  <si>
    <t>ΔTaxes Payable</t>
  </si>
  <si>
    <t>CFO</t>
  </si>
  <si>
    <t>Cash From Investing (CFI)</t>
  </si>
  <si>
    <t>CapEx</t>
  </si>
  <si>
    <t>Acquisitions</t>
  </si>
  <si>
    <t>Other</t>
  </si>
  <si>
    <t>CFI</t>
  </si>
  <si>
    <t>Cash From Financing (CFF)</t>
  </si>
  <si>
    <t>Dividends Paid</t>
  </si>
  <si>
    <t>ΔLTDebt</t>
  </si>
  <si>
    <t>ΔLease Liabilities</t>
  </si>
  <si>
    <t>Share Buybacks</t>
  </si>
  <si>
    <t>CFF</t>
  </si>
  <si>
    <t>Net chage in cash and equivalents</t>
  </si>
  <si>
    <t>Cash and  equivalents beginning</t>
  </si>
  <si>
    <t>Cash and equivalents end</t>
  </si>
  <si>
    <t>Free Cash Flow</t>
  </si>
  <si>
    <t>FCF Margin %</t>
  </si>
  <si>
    <t>Balance Sheet</t>
  </si>
  <si>
    <t>Assets</t>
  </si>
  <si>
    <t>Cash &amp; Equivalents</t>
  </si>
  <si>
    <t>Short term Investments (STI)</t>
  </si>
  <si>
    <t>Accounts Receivable (AR)</t>
  </si>
  <si>
    <t>Inventory</t>
  </si>
  <si>
    <t>Other Current Assets</t>
  </si>
  <si>
    <t>Total Current Assets</t>
  </si>
  <si>
    <t>Plant, Property &amp; Equipement</t>
  </si>
  <si>
    <t>Goodwill &amp; Intangibles</t>
  </si>
  <si>
    <t>Other LT assets</t>
  </si>
  <si>
    <t>Total Non-current Assets</t>
  </si>
  <si>
    <t>Total Assets</t>
  </si>
  <si>
    <t>Liabilities</t>
  </si>
  <si>
    <t>Accounts Payable (AP)</t>
  </si>
  <si>
    <t>Accruals</t>
  </si>
  <si>
    <t>Taxes Payable</t>
  </si>
  <si>
    <t>Short-term debt</t>
  </si>
  <si>
    <t>Total Current Liabilities</t>
  </si>
  <si>
    <t>Current portion LTD</t>
  </si>
  <si>
    <t>Long-term debt</t>
  </si>
  <si>
    <t>Lease liabilities (ST + LT)</t>
  </si>
  <si>
    <t>Other LT liabilities</t>
  </si>
  <si>
    <t>Total Non-current Liabilities</t>
  </si>
  <si>
    <t>Total Liabilities</t>
  </si>
  <si>
    <t>Equity</t>
  </si>
  <si>
    <t>Common stock + APIC</t>
  </si>
  <si>
    <t>Treasury Stock</t>
  </si>
  <si>
    <t>Retained Earnings</t>
  </si>
  <si>
    <t>Minority interest</t>
  </si>
  <si>
    <t>Total Equity</t>
  </si>
  <si>
    <t>Total Liabilities + Equity</t>
  </si>
  <si>
    <t>BS Check</t>
  </si>
  <si>
    <t>WACC</t>
  </si>
  <si>
    <t>Comparable Companies Unlevered Betas</t>
  </si>
  <si>
    <t>Capital structure</t>
  </si>
  <si>
    <t>Company name</t>
  </si>
  <si>
    <t>TICKER</t>
  </si>
  <si>
    <t>Levered Beta</t>
  </si>
  <si>
    <t>Total Debt</t>
  </si>
  <si>
    <t>TOTAL (D+E)</t>
  </si>
  <si>
    <t>D / E</t>
  </si>
  <si>
    <t>Unlevered Beta</t>
  </si>
  <si>
    <t>Total debt</t>
  </si>
  <si>
    <t>KEURIG DR PEPPER INC. (XNAS:KDP)</t>
  </si>
  <si>
    <t>KDP</t>
  </si>
  <si>
    <t>Pepsico, Inc. (XNAS:PEP)</t>
  </si>
  <si>
    <t>PEP</t>
  </si>
  <si>
    <t>Debt to Value</t>
  </si>
  <si>
    <t>MONSTER BEVERAGE CORPORATION (XNAS:MNST)</t>
  </si>
  <si>
    <t>MNST</t>
  </si>
  <si>
    <t>Equity to Value</t>
  </si>
  <si>
    <t>CELSIUS HOLDINGS, INC. (XNAS:CELH)</t>
  </si>
  <si>
    <t>CELH</t>
  </si>
  <si>
    <t xml:space="preserve">D/E </t>
  </si>
  <si>
    <t>NATIONAL BEVERAGE CORP. (XNAS:FIZZ)</t>
  </si>
  <si>
    <t>FIZZ</t>
  </si>
  <si>
    <t>E/D</t>
  </si>
  <si>
    <t>Median All</t>
  </si>
  <si>
    <t>Average All</t>
  </si>
  <si>
    <t>Cost of Equity</t>
  </si>
  <si>
    <t>Median Restricted</t>
  </si>
  <si>
    <t>Risk Free Rate</t>
  </si>
  <si>
    <t>Average Restricted</t>
  </si>
  <si>
    <t>Implied Market Return</t>
  </si>
  <si>
    <t>Equity to Risk Premium (ERP)</t>
  </si>
  <si>
    <t>Company Beta</t>
  </si>
  <si>
    <t>Assets Beta</t>
  </si>
  <si>
    <t>Cost of equity</t>
  </si>
  <si>
    <t>Cost of Debt</t>
  </si>
  <si>
    <t>Corporate Marginal Tax Rate</t>
  </si>
  <si>
    <t>Debt Beta</t>
  </si>
  <si>
    <t>Interest expense % over debt</t>
  </si>
  <si>
    <t>After tax cost of debt</t>
  </si>
  <si>
    <t>EBIT</t>
  </si>
  <si>
    <t>NOPAT</t>
  </si>
  <si>
    <t>Free Cash Flow (FCFF)</t>
  </si>
  <si>
    <t>Discount Factor</t>
  </si>
  <si>
    <t>Discounted Cash Flow</t>
  </si>
  <si>
    <t>Dividends paid</t>
  </si>
  <si>
    <t>Share buybacks</t>
  </si>
  <si>
    <t>Total payout (Dividends + Buybacks)</t>
  </si>
  <si>
    <t>Discount factor</t>
  </si>
  <si>
    <t>Discounted Total Payout</t>
  </si>
  <si>
    <t>Implied Equity Value and Share Price</t>
  </si>
  <si>
    <t>Terminal Value  - Exit Multiple</t>
  </si>
  <si>
    <t>Terminal Value - Perpetual Growth</t>
  </si>
  <si>
    <t>Dividend Discount Model - Total Payout</t>
  </si>
  <si>
    <t>Market Value</t>
  </si>
  <si>
    <t>PV of FCFF 10 years</t>
  </si>
  <si>
    <t>EBITDA Yr 10</t>
  </si>
  <si>
    <t>NOPAT Yr 10</t>
  </si>
  <si>
    <t>PV of total payout (2026-2035)</t>
  </si>
  <si>
    <t>Implied Enterprise Value - Exit Multiple</t>
  </si>
  <si>
    <t>Times EBITDA Yr 10</t>
  </si>
  <si>
    <t>ROIC Year 10 (RONIC)</t>
  </si>
  <si>
    <t>Perpetual payout growth</t>
  </si>
  <si>
    <t>Intrinsic value</t>
  </si>
  <si>
    <t>Implied Enterprise Value - Perpetual growth</t>
  </si>
  <si>
    <t>Terminal Value</t>
  </si>
  <si>
    <t xml:space="preserve">Terminal g </t>
  </si>
  <si>
    <t>TV of total payout</t>
  </si>
  <si>
    <t>Implied Enterprise Value - DDM Total Payout</t>
  </si>
  <si>
    <t>Reinvestment rate (g / RONIC)</t>
  </si>
  <si>
    <t>(-) Gross Debt (ST + LT + leases)</t>
  </si>
  <si>
    <t>Terminal FCFF (Yr 11)</t>
  </si>
  <si>
    <t>(-) Minority Interest</t>
  </si>
  <si>
    <t>PV of TV</t>
  </si>
  <si>
    <t>(+) Investments in associates (book value × P/BV)</t>
  </si>
  <si>
    <t>(+) Cash and Equivalents (FY2025)</t>
  </si>
  <si>
    <t>Implied Equity Value - Exit Multiple</t>
  </si>
  <si>
    <t>Investments in associates</t>
  </si>
  <si>
    <t>Implied Equity Value - Perpetual Growth</t>
  </si>
  <si>
    <t>Book value FY2025</t>
  </si>
  <si>
    <t>Implied Equity Value - DDM Total Payout</t>
  </si>
  <si>
    <t>P/BV multiple applied</t>
  </si>
  <si>
    <t>WASO</t>
  </si>
  <si>
    <t>Implied P/B (capitalised earnings)</t>
  </si>
  <si>
    <t>Implied Share Price - Exit Multiple</t>
  </si>
  <si>
    <t>Implied Share Price - Perpetual Growth</t>
  </si>
  <si>
    <t>Implied Share Price - DDM Total Payout</t>
  </si>
  <si>
    <t xml:space="preserve"> (KO US) - Info destacada aj BBG</t>
  </si>
  <si>
    <t>En Millones de USD</t>
  </si>
  <si>
    <t>FY 2019</t>
  </si>
  <si>
    <t>FY 2020</t>
  </si>
  <si>
    <t>FY 2021</t>
  </si>
  <si>
    <t>FY 2022</t>
  </si>
  <si>
    <t>FY 2023</t>
  </si>
  <si>
    <t>FY 2024</t>
  </si>
  <si>
    <t>FY 2025</t>
  </si>
  <si>
    <t>Actual/Últ12M</t>
  </si>
  <si>
    <t>FY 2026 Est</t>
  </si>
  <si>
    <t>FY 2027 Est</t>
  </si>
  <si>
    <t>12 meses fin</t>
  </si>
  <si>
    <t>12/31/2019</t>
  </si>
  <si>
    <t>12/31/2020</t>
  </si>
  <si>
    <t>12/31/2021</t>
  </si>
  <si>
    <t>12/31/2022</t>
  </si>
  <si>
    <t>12/31/2023</t>
  </si>
  <si>
    <t>12/31/2024</t>
  </si>
  <si>
    <t>12/31/2025</t>
  </si>
  <si>
    <t>04/03/2026</t>
  </si>
  <si>
    <t>12/31/2026</t>
  </si>
  <si>
    <t>12/31/2027</t>
  </si>
  <si>
    <t>Capitalización de mercado</t>
  </si>
  <si>
    <t>HISTORICAL_MARKET_CAP</t>
  </si>
  <si>
    <t>- Efectivo y equivalentes</t>
  </si>
  <si>
    <t>CASH_AND_MARKETABLE_SECURITIES</t>
  </si>
  <si>
    <t>+ Preferente y otros</t>
  </si>
  <si>
    <t>PFD_EQTY_MINORTY_INTEREST</t>
  </si>
  <si>
    <t>+ Deuda total</t>
  </si>
  <si>
    <t>SHORT_AND_LONG_TERM_DEBT</t>
  </si>
  <si>
    <t>Valor de empresa</t>
  </si>
  <si>
    <t>ENTERPRISE_VALUE</t>
  </si>
  <si>
    <t>Ingresos, aj</t>
  </si>
  <si>
    <t>SALES_REV_TURN</t>
  </si>
  <si>
    <t xml:space="preserve">  % Crec, YoY</t>
  </si>
  <si>
    <t>SALES_GROWTH</t>
  </si>
  <si>
    <t>Beneficio bruto, aj</t>
  </si>
  <si>
    <t>GROSS_PROFIT</t>
  </si>
  <si>
    <t xml:space="preserve">  % Margen</t>
  </si>
  <si>
    <t>EBITDA, aj</t>
  </si>
  <si>
    <t>Beneficio neto, aj</t>
  </si>
  <si>
    <t>EARN_FOR_COMMON</t>
  </si>
  <si>
    <t>BPA, aj</t>
  </si>
  <si>
    <t>IS_DIL_EPS_CONT_OPS</t>
  </si>
  <si>
    <t>DILUTED_EPS_AFT_XO_ITEMS_GROWTH</t>
  </si>
  <si>
    <t>Efectivo de operaciones</t>
  </si>
  <si>
    <t>CF_CASH_FROM_OPER</t>
  </si>
  <si>
    <t>Gastos de capital</t>
  </si>
  <si>
    <t>CAPITAL_EXPEND</t>
  </si>
  <si>
    <t>Flujo de caja libre</t>
  </si>
  <si>
    <t>CF_FREE_CASH_FLOW</t>
  </si>
  <si>
    <t>Fuente: Bloomberg</t>
  </si>
  <si>
    <t>Hacer clic derecho para ver transparencia de datos (no disponible p/todos)</t>
  </si>
  <si>
    <t xml:space="preserve"> (KO US) - Rentabilidad</t>
  </si>
  <si>
    <t>En Millones de USD excepto por acción</t>
  </si>
  <si>
    <t>FY 2016</t>
  </si>
  <si>
    <t>FY 2017</t>
  </si>
  <si>
    <t>FY 2018</t>
  </si>
  <si>
    <t>12/31/2016</t>
  </si>
  <si>
    <t>12/31/2017</t>
  </si>
  <si>
    <t>12/31/2018</t>
  </si>
  <si>
    <t>Renta</t>
  </si>
  <si>
    <t>Retorno sobre el capital común</t>
  </si>
  <si>
    <t>RETURN_COM_EQY</t>
  </si>
  <si>
    <t>Retorno en activos</t>
  </si>
  <si>
    <t>RETURN_ON_ASSET</t>
  </si>
  <si>
    <t>Retorno de capital:</t>
  </si>
  <si>
    <t>RETURN_ON_CAP</t>
  </si>
  <si>
    <t>Retorno de capital invertido</t>
  </si>
  <si>
    <t>RETURN_ON_INV_CAPITAL</t>
  </si>
  <si>
    <t>Márgenes</t>
  </si>
  <si>
    <t>Margen bruto</t>
  </si>
  <si>
    <t>GROSS_MARGIN</t>
  </si>
  <si>
    <t>Margen EBITDA</t>
  </si>
  <si>
    <t>EBITDA_TO_REVENUE</t>
  </si>
  <si>
    <t>Margen operacional</t>
  </si>
  <si>
    <t>OPER_MARGIN</t>
  </si>
  <si>
    <t>Margen operacional gradual</t>
  </si>
  <si>
    <t>INCREMENTAL_OPERATING_MARGIN</t>
  </si>
  <si>
    <t>—</t>
  </si>
  <si>
    <t>Margen antes de impuestos</t>
  </si>
  <si>
    <t>PRETAX_INC_TO_NET_SALES</t>
  </si>
  <si>
    <t>Margen ingreso antes de PE</t>
  </si>
  <si>
    <t>INC_BEF_XO_ITEMS_TO_NET_SALES</t>
  </si>
  <si>
    <t>Margen beneficio neto</t>
  </si>
  <si>
    <t>PROF_MARGIN</t>
  </si>
  <si>
    <t>Beneficio neto a margen común</t>
  </si>
  <si>
    <t>NET_INCOME_TO_COMMON_MARGIN</t>
  </si>
  <si>
    <t>Adicional</t>
  </si>
  <si>
    <t>Tasa impositiva efectiva</t>
  </si>
  <si>
    <t>EFF_TAX_RATE</t>
  </si>
  <si>
    <t>Ratio de pago de dividendos</t>
  </si>
  <si>
    <t>DVD_PAYOUT_RATIO</t>
  </si>
  <si>
    <t>Tasa de crecimiento sostenible</t>
  </si>
  <si>
    <t>SUSTAIN_GROWTH_RT</t>
  </si>
  <si>
    <t xml:space="preserve"> (KO US) - Ajustados p/BBG</t>
  </si>
  <si>
    <t>Últ 12M</t>
  </si>
  <si>
    <t>Ingreso</t>
  </si>
  <si>
    <t xml:space="preserve">    + Ingresos de servicios y ventas</t>
  </si>
  <si>
    <t>IS_SALES_AND_SERVICES_REVENUES</t>
  </si>
  <si>
    <t xml:space="preserve">  - Coste de ingreso</t>
  </si>
  <si>
    <t>IS_COGS_TO_FE_AND_PP_AND_G</t>
  </si>
  <si>
    <t xml:space="preserve">    + Coste de bienes y servicios</t>
  </si>
  <si>
    <t>IS_COG_AND_SERVICES_SOLD</t>
  </si>
  <si>
    <t>Beneficio bruto</t>
  </si>
  <si>
    <t xml:space="preserve">  + Otros ingresos operacionales</t>
  </si>
  <si>
    <t>IS_OTHER_OPER_INC</t>
  </si>
  <si>
    <t xml:space="preserve">  - Gastos operacionales</t>
  </si>
  <si>
    <t>IS_OPERATING_EXPN</t>
  </si>
  <si>
    <t xml:space="preserve">    + Ventas, generales y admin</t>
  </si>
  <si>
    <t>IS_SGA_EXPENSE</t>
  </si>
  <si>
    <t xml:space="preserve">    + Investigación y desarrollo</t>
  </si>
  <si>
    <t>IS_OPERATING_EXPENSES_RD</t>
  </si>
  <si>
    <t xml:space="preserve">    + Otro gasto operativo</t>
  </si>
  <si>
    <t>IS_OTHER_OPERATING_EXPENSES</t>
  </si>
  <si>
    <t>Ingreso operacional (pérdida)</t>
  </si>
  <si>
    <t>IS_OPER_INC</t>
  </si>
  <si>
    <t xml:space="preserve">  - Ingreso (pérdida) no operacional</t>
  </si>
  <si>
    <t>IS_NONOP_INCOME_LOSS</t>
  </si>
  <si>
    <t xml:space="preserve">    + Gasto de intereses, neto</t>
  </si>
  <si>
    <t>IS_NET_INTEREST_EXPENSE</t>
  </si>
  <si>
    <t xml:space="preserve">    + Gastos de intereses</t>
  </si>
  <si>
    <t>IS_INT_EXPENSE</t>
  </si>
  <si>
    <t xml:space="preserve">    - Ingreso de intereses</t>
  </si>
  <si>
    <t>IS_INT_INC</t>
  </si>
  <si>
    <t xml:space="preserve">    + (Plusvalía) pérdida del tipo de cambio</t>
  </si>
  <si>
    <t>IS_FOREIGN_EXCH_LOSS</t>
  </si>
  <si>
    <t xml:space="preserve">    + Beneficio (pérdida) de filiales</t>
  </si>
  <si>
    <t>INCOME_LOSS_FROM_AFFILIATES</t>
  </si>
  <si>
    <t xml:space="preserve">    + Otro (ingreso) pérdida no op</t>
  </si>
  <si>
    <t>IS_OTHER_NON_OPERATING_INC_LOSS</t>
  </si>
  <si>
    <t>Beneficios (pérdidas) antes de impuestos, ajustados</t>
  </si>
  <si>
    <t>PRETAX_INC</t>
  </si>
  <si>
    <t xml:space="preserve">  - Pérdida anormal</t>
  </si>
  <si>
    <t>IS_ABNORMAL_ITEM</t>
  </si>
  <si>
    <t xml:space="preserve">    + Gasto de fusión o adquisición</t>
  </si>
  <si>
    <t>IS_MERGER_ACQUISITION_EXPENSE</t>
  </si>
  <si>
    <t xml:space="preserve">    + Cancelación de activos</t>
  </si>
  <si>
    <t>IS_IMPAIRMENT_ASSETS</t>
  </si>
  <si>
    <t xml:space="preserve">    + Restructura</t>
  </si>
  <si>
    <t>IS_RESTRUCTURING_EXPENSES</t>
  </si>
  <si>
    <t xml:space="preserve">    + Inversiones no realizadas</t>
  </si>
  <si>
    <t>IS_UNREALIZED_INVESTMENTS</t>
  </si>
  <si>
    <t xml:space="preserve">    + Otros elementos atípicos</t>
  </si>
  <si>
    <t>IS_OTHER_ONE_TIME_ITEMS</t>
  </si>
  <si>
    <t>Beneficios (pérdidas) antes de impuestos, GAAP</t>
  </si>
  <si>
    <t xml:space="preserve">  - Gasto de impuesto a la renta (Beneficio)</t>
  </si>
  <si>
    <t>IS_INC_TAX_EXP</t>
  </si>
  <si>
    <t xml:space="preserve">    + Impuesto sobre la renta actual</t>
  </si>
  <si>
    <t>IS_CURRENT_INCOME_TAX_BENEFIT</t>
  </si>
  <si>
    <t xml:space="preserve">    + Impuesto sobre la renta diferido</t>
  </si>
  <si>
    <t>IS_DEFERRED_INCOME_TAX_BENEFIT</t>
  </si>
  <si>
    <t>Beneficios (pérdidas) de operaciones continuas</t>
  </si>
  <si>
    <t>IS_INC_BEF_XO_ITEM</t>
  </si>
  <si>
    <t xml:space="preserve">  - Pérdidas (ganancias) extraordinarias netas</t>
  </si>
  <si>
    <t>XO_GL_NET_OF_TAX</t>
  </si>
  <si>
    <t xml:space="preserve">    + Operaciones discontinuas</t>
  </si>
  <si>
    <t>IS_DISCONTINUED_OPERATIONS</t>
  </si>
  <si>
    <t xml:space="preserve">    + PE y cambios contables</t>
  </si>
  <si>
    <t>EXTRAORD_ITEMS_ACCOUNTING_CHANGS</t>
  </si>
  <si>
    <t>Ingreso (pérdida) incl MI</t>
  </si>
  <si>
    <t>NI_INCLUDING_MINORITY_INT_RATIO</t>
  </si>
  <si>
    <t xml:space="preserve">  - Minoritarios</t>
  </si>
  <si>
    <t>MIN_NONCONTROL_INTEREST_CREDITS</t>
  </si>
  <si>
    <t>Beneficio neto, GAAP</t>
  </si>
  <si>
    <t>NET_INCOME</t>
  </si>
  <si>
    <t xml:space="preserve">  - Dividendos preferentes</t>
  </si>
  <si>
    <t>IS_TOT_CASH_PFD_DVD</t>
  </si>
  <si>
    <t xml:space="preserve">  - Otros ajustes</t>
  </si>
  <si>
    <t>OTHER_ADJUSTMENTS</t>
  </si>
  <si>
    <t>beneficio neto disponible a accionistas comunes, GAAP</t>
  </si>
  <si>
    <t>Beneficio neto disponible a cap común, aj</t>
  </si>
  <si>
    <t xml:space="preserve">  Pérdidas atípicas netas (ganancias)</t>
  </si>
  <si>
    <t>IS_NET_ABNORMAL_ITEMS</t>
  </si>
  <si>
    <t xml:space="preserve">  Pérdidas (ganancias) extraordinarias netas</t>
  </si>
  <si>
    <t>Acciones promedio básicas pond</t>
  </si>
  <si>
    <t>IS_AVG_NUM_SH_FOR_EPS</t>
  </si>
  <si>
    <t>BPA básicos, GAAP</t>
  </si>
  <si>
    <t>IS_EPS</t>
  </si>
  <si>
    <t>BPA básicos de operaciones continuas, GAAP</t>
  </si>
  <si>
    <t>IS_EARN_BEF_XO_ITEMS_PER_SH</t>
  </si>
  <si>
    <t>BPA básicos de ops cont, ajustados</t>
  </si>
  <si>
    <t>IS_BASIC_EPS_CONT_OPS</t>
  </si>
  <si>
    <t>Acciones diluidas promedio pond</t>
  </si>
  <si>
    <t>IS_SH_FOR_DILUTED_EPS</t>
  </si>
  <si>
    <t>BPA diluidos, GAAP</t>
  </si>
  <si>
    <t>IS_DILUTED_EPS</t>
  </si>
  <si>
    <t>BPA diluidos de operaciones continuas valor, GAAP</t>
  </si>
  <si>
    <t>IS_DIL_EPS_BEF_XO</t>
  </si>
  <si>
    <t>BPA diluidos de ops cont, ajustados</t>
  </si>
  <si>
    <t>Referencia</t>
  </si>
  <si>
    <t>Norma de contabilidad</t>
  </si>
  <si>
    <t>ACCOUNTING_STANDARD</t>
  </si>
  <si>
    <t>US GAAP</t>
  </si>
  <si>
    <t>Margen EBITDA (U12M)</t>
  </si>
  <si>
    <t>EBITDA_MARGIN</t>
  </si>
  <si>
    <t>EBITA</t>
  </si>
  <si>
    <t>Margen de beneficio</t>
  </si>
  <si>
    <t>Ventas por empleado</t>
  </si>
  <si>
    <t>ACTUAL_SALES_PER_EMPL</t>
  </si>
  <si>
    <t>Dividendos por acción</t>
  </si>
  <si>
    <t>EQY_DPS</t>
  </si>
  <si>
    <t>Dividendos ordinarios totales en efectivo</t>
  </si>
  <si>
    <t>IS_TOT_CASH_COM_DVD</t>
  </si>
  <si>
    <t>Gasto de depreciación</t>
  </si>
  <si>
    <t>IS_DEPR_EXP</t>
  </si>
  <si>
    <t>Gasto de renta</t>
  </si>
  <si>
    <t>BS_CURR_RENTAL_EXPENSE</t>
  </si>
  <si>
    <t xml:space="preserve"> (KO US) - Estandarizado</t>
  </si>
  <si>
    <t>Activo total</t>
  </si>
  <si>
    <t xml:space="preserve">  + Efectivo, equivalentes y STI</t>
  </si>
  <si>
    <t>CASH_CASH_EQTY_STI_DETAILED</t>
  </si>
  <si>
    <t xml:space="preserve">    + Efectivo y equivalentes</t>
  </si>
  <si>
    <t>BS_CASH_NEAR_CASH_ITEM</t>
  </si>
  <si>
    <t xml:space="preserve">    + Inversiones a corto plazo</t>
  </si>
  <si>
    <t>BS_MKT_SEC_OTHER_ST_INVEST</t>
  </si>
  <si>
    <t xml:space="preserve">  + Cuentas y notas por cobrar</t>
  </si>
  <si>
    <t>BS_ACCT_NOTE_RCV</t>
  </si>
  <si>
    <t xml:space="preserve">    + Cuentas por cobrar, neto</t>
  </si>
  <si>
    <t>BS_ACCTS_REC_EXCL_NOTES_REC</t>
  </si>
  <si>
    <t xml:space="preserve">    + Notas por cobrar, netas</t>
  </si>
  <si>
    <t>NOTES_RECEIVABLE</t>
  </si>
  <si>
    <t xml:space="preserve">  + Inventarios</t>
  </si>
  <si>
    <t>BS_INVENTORIES</t>
  </si>
  <si>
    <t xml:space="preserve">    + Mat primas</t>
  </si>
  <si>
    <t>INVTRY_RAW_MATERIALS</t>
  </si>
  <si>
    <t xml:space="preserve">    + Trabajo en proceso</t>
  </si>
  <si>
    <t>INVTRY_IN_PROGRESS</t>
  </si>
  <si>
    <t xml:space="preserve">    + Bienes de consumo</t>
  </si>
  <si>
    <t>INVTRY_FINISHED_GOODS</t>
  </si>
  <si>
    <t xml:space="preserve">    + Otro inventario</t>
  </si>
  <si>
    <t>BS_OTHER_INV</t>
  </si>
  <si>
    <t xml:space="preserve">  + Otros activos a CP</t>
  </si>
  <si>
    <t>OTHER_CURRENT_ASSETS_DETAILED</t>
  </si>
  <si>
    <t xml:space="preserve">    + Activos derivados y de cobertura</t>
  </si>
  <si>
    <t>BS_DERIV_HEDGING_ASST_ST</t>
  </si>
  <si>
    <t xml:space="preserve">    + Activos mantenidos para la venta</t>
  </si>
  <si>
    <t>BS_ASSETS_HELD_FOR_SALE_ST</t>
  </si>
  <si>
    <t>BS_ASSETS_OF_DISCONTINUED_OPS_ST</t>
  </si>
  <si>
    <t xml:space="preserve">    + Activos varios a CP</t>
  </si>
  <si>
    <t>BS_OTHER_CUR_ASSET_LESS_PREPAY</t>
  </si>
  <si>
    <t>Activos totales actuales</t>
  </si>
  <si>
    <t>BS_CUR_ASSET_REPORT</t>
  </si>
  <si>
    <t xml:space="preserve">  + Propiedad, planta y equipo; neto</t>
  </si>
  <si>
    <t>BS_NET_FIX_ASSET</t>
  </si>
  <si>
    <t xml:space="preserve">    + Propiedad, planta y equipo</t>
  </si>
  <si>
    <t>BS_GROSS_FIX_ASSET</t>
  </si>
  <si>
    <t xml:space="preserve">    - Depreciación acumulada</t>
  </si>
  <si>
    <t>BS_ACCUM_DEPR</t>
  </si>
  <si>
    <t xml:space="preserve">  + Inversiones y cuentas por cobrar a LP</t>
  </si>
  <si>
    <t>BS_LT_INVEST</t>
  </si>
  <si>
    <t xml:space="preserve">    + Inversiones a largo plazo</t>
  </si>
  <si>
    <t>BS_LONG_TERM_INVESTMENTS</t>
  </si>
  <si>
    <t xml:space="preserve">  + Otros activos a LP</t>
  </si>
  <si>
    <t>BS_OTHER_ASSETS_DEF_CHRG_OTHER</t>
  </si>
  <si>
    <t xml:space="preserve">    + Activos intangibles totales</t>
  </si>
  <si>
    <t>BS_DISCLOSED_INTANGIBLES</t>
  </si>
  <si>
    <t xml:space="preserve">    + Fondo de comercio</t>
  </si>
  <si>
    <t>BS_GOODWILL</t>
  </si>
  <si>
    <t xml:space="preserve">    + Otros activos intangibles</t>
  </si>
  <si>
    <t>OTHER_INTANGIBLE_ASSETS_DETAILED</t>
  </si>
  <si>
    <t xml:space="preserve">    + Activos de impuestos diferidos</t>
  </si>
  <si>
    <t>BS_DEFERRED_TAX_ASSETS_LT</t>
  </si>
  <si>
    <t xml:space="preserve">    + Activos de derivados y de cobertura</t>
  </si>
  <si>
    <t>BS_DERIV_HEDGING_ASST_LT</t>
  </si>
  <si>
    <t xml:space="preserve">    + Costes de pensiones prepagados</t>
  </si>
  <si>
    <t>BS_PREPAID_PENSION_COSTS_LT</t>
  </si>
  <si>
    <t xml:space="preserve">    + Inversiones en filiales</t>
  </si>
  <si>
    <t>BS_INVEST_IN_ASSOC_CO</t>
  </si>
  <si>
    <t xml:space="preserve">    + Activos varios a LP</t>
  </si>
  <si>
    <t>OTHER_NONCURRENT_ASSETS_DETAILED</t>
  </si>
  <si>
    <t>Activos totales no corrientes</t>
  </si>
  <si>
    <t>BS_TOT_NON_CUR_ASSET</t>
  </si>
  <si>
    <t>Activos totales</t>
  </si>
  <si>
    <t>BS_TOT_ASSET</t>
  </si>
  <si>
    <t>Pasivo y capital social</t>
  </si>
  <si>
    <t xml:space="preserve">  + Cuentas por pagar y devengos</t>
  </si>
  <si>
    <t>ACCT_PAYABLE_ACCRUALS_DETAILED</t>
  </si>
  <si>
    <t xml:space="preserve">    + Cuentas por pagar</t>
  </si>
  <si>
    <t>BS_ACCT_PAYABLE</t>
  </si>
  <si>
    <t xml:space="preserve">    + Impuestos incurridos</t>
  </si>
  <si>
    <t>BS_TAXES_PAYABLE</t>
  </si>
  <si>
    <t xml:space="preserve">    + Interés y dividendos por pagar</t>
  </si>
  <si>
    <t>INTEREST_DIVIDENDS_PAYABLE</t>
  </si>
  <si>
    <t xml:space="preserve">    + Otras cuentas por pagar y en devengo</t>
  </si>
  <si>
    <t>BS_ACCRUAL</t>
  </si>
  <si>
    <t xml:space="preserve">  + Deuda CP</t>
  </si>
  <si>
    <t>BS_ST_BORROW</t>
  </si>
  <si>
    <t xml:space="preserve">    + Préstamos CP</t>
  </si>
  <si>
    <t>SHORT_TERM_DEBT_DETAILED</t>
  </si>
  <si>
    <t xml:space="preserve">    + Obligaciones de arrendamiento a CP</t>
  </si>
  <si>
    <t>ST_CAPITALIZED_LEASE_LIABILITIES</t>
  </si>
  <si>
    <t xml:space="preserve">      + Arrendamientos de finanzas a CP</t>
  </si>
  <si>
    <t>ST_CAPITAL_LEASE_OBLIGATIONS</t>
  </si>
  <si>
    <t xml:space="preserve">      + Arrendamientos de operación a CP</t>
  </si>
  <si>
    <t>BS_ST_OPERATING_LEASE_LIABS</t>
  </si>
  <si>
    <t xml:space="preserve">    + Porción corriente de deuda a LP</t>
  </si>
  <si>
    <t>BS_CURR_PORTION_LT_DEBT</t>
  </si>
  <si>
    <t xml:space="preserve">  + Otros pasivos a corto plazo</t>
  </si>
  <si>
    <t>OTHER_CURRENT_LIABS_SUB_DETAILED</t>
  </si>
  <si>
    <t xml:space="preserve">    + Ingreso diferido</t>
  </si>
  <si>
    <t>ST_DEFERRED_REVENUE</t>
  </si>
  <si>
    <t xml:space="preserve">    + Derivados y cobertura</t>
  </si>
  <si>
    <t>BS_DERIV_HEDGING_LIAB_ST</t>
  </si>
  <si>
    <t>BS_LIABS_OF_DISCONTINUED_OPS_ST</t>
  </si>
  <si>
    <t xml:space="preserve">    + Pasivos varios a CP</t>
  </si>
  <si>
    <t>OTHER_CURRENT_LIABS_DETAILED</t>
  </si>
  <si>
    <t>Pasivos totales corrientes</t>
  </si>
  <si>
    <t>BS_CUR_LIAB</t>
  </si>
  <si>
    <t xml:space="preserve">  + Deuda LP</t>
  </si>
  <si>
    <t>BS_LT_BORROW</t>
  </si>
  <si>
    <t xml:space="preserve">    + Préstamos a largo plazo</t>
  </si>
  <si>
    <t>LONG_TERM_BORROWINGS_DETAILED</t>
  </si>
  <si>
    <t xml:space="preserve">    + Obligaciones de arrendamiento a LP</t>
  </si>
  <si>
    <t>LT_CAPITALIZED_LEASE_LIABILITIES</t>
  </si>
  <si>
    <t xml:space="preserve">      + Arrendamientos de finanzas a LP</t>
  </si>
  <si>
    <t>LT_CAPITAL_LEASE_OBLIGATIONS</t>
  </si>
  <si>
    <t xml:space="preserve">      + Arrendamientos de operación a LP</t>
  </si>
  <si>
    <t>BS_LT_OPERATING_LEASE_LIABS</t>
  </si>
  <si>
    <t xml:space="preserve">  + Otros pasivos a LP</t>
  </si>
  <si>
    <t>OTHER_NONCUR_LIABS_SUB_DETAILED</t>
  </si>
  <si>
    <t xml:space="preserve">    + Pasivos acum</t>
  </si>
  <si>
    <t>BS_ACCRUED_LIABILITIES</t>
  </si>
  <si>
    <t xml:space="preserve">    + Pasivos de pensiones</t>
  </si>
  <si>
    <t>PENSION_LIABILITIES</t>
  </si>
  <si>
    <t>LT_DEFERRED_REVENUE</t>
  </si>
  <si>
    <t xml:space="preserve">    + Pasivo de impuesto diferido</t>
  </si>
  <si>
    <t>BS_DEFERRED_TAX_LIABILITIES_LT</t>
  </si>
  <si>
    <t>BS_DERIV_HEDGING_LIAB_LT</t>
  </si>
  <si>
    <t xml:space="preserve">    + Pasivos varios a LP</t>
  </si>
  <si>
    <t>OTHER_NONCURRENT_LIABS_DETAILED</t>
  </si>
  <si>
    <t>Pasivos totales no corrientes</t>
  </si>
  <si>
    <t>NON_CUR_LIAB</t>
  </si>
  <si>
    <t>Pasivos totales</t>
  </si>
  <si>
    <t>BS_TOT_LIAB2</t>
  </si>
  <si>
    <t xml:space="preserve">  + Acciones preferentes y capital híbrido</t>
  </si>
  <si>
    <t>PFD_EQTY_HYBRID_CAPITAL</t>
  </si>
  <si>
    <t xml:space="preserve">  + Capital en acciones y APIC</t>
  </si>
  <si>
    <t>BS_SH_CAP_AND_APIC</t>
  </si>
  <si>
    <t xml:space="preserve">    + Capital común</t>
  </si>
  <si>
    <t>BS_COMMON_STOCK</t>
  </si>
  <si>
    <t xml:space="preserve">    + Capital adicional pagado</t>
  </si>
  <si>
    <t>BS_ADD_PAID_IN_CAP</t>
  </si>
  <si>
    <t xml:space="preserve">  - Acciones de Tesorería</t>
  </si>
  <si>
    <t>BS_AMT_OF_TSY_STOCK</t>
  </si>
  <si>
    <t xml:space="preserve">  + Beneficios retenidos</t>
  </si>
  <si>
    <t>BS_PURE_RETAINED_EARNINGS</t>
  </si>
  <si>
    <t xml:space="preserve">  + Otro capital</t>
  </si>
  <si>
    <t>OTHER_EQUITY_RATIO</t>
  </si>
  <si>
    <t>Capital antes de interés minoritario</t>
  </si>
  <si>
    <t>EQTY_BEF_MINORITY_INT_DETAILED</t>
  </si>
  <si>
    <t xml:space="preserve">  + Participación minoritaria/no dominante</t>
  </si>
  <si>
    <t>MINORITY_NONCONTROLLING_INTEREST</t>
  </si>
  <si>
    <t>Patrimonio total</t>
  </si>
  <si>
    <t>TOTAL_EQUITY</t>
  </si>
  <si>
    <t>Pasivo y capital totales</t>
  </si>
  <si>
    <t>TOT_LIAB_AND_EQY</t>
  </si>
  <si>
    <t>Acciones en circulación:</t>
  </si>
  <si>
    <t>BS_SH_OUT</t>
  </si>
  <si>
    <t>Núm de acciones de Tesorería</t>
  </si>
  <si>
    <t>BS_NUM_OF_TSY_SH</t>
  </si>
  <si>
    <t>Obligaciones de pensión</t>
  </si>
  <si>
    <t>BS_PENSION_RSRV</t>
  </si>
  <si>
    <t>Arriendos futuros mínimos de operaciones</t>
  </si>
  <si>
    <t>BS_FUTURE_MIN_OPER_LEASE_OBLIG</t>
  </si>
  <si>
    <t>Arrend capital - Total</t>
  </si>
  <si>
    <t>BS_TOTAL_CAPITAL_LEASES</t>
  </si>
  <si>
    <t>Opciones dadas en el periodo</t>
  </si>
  <si>
    <t>BS_OPTIONS_GRANTED</t>
  </si>
  <si>
    <t>Opciones en circulación al fin del periodo</t>
  </si>
  <si>
    <t>BS_OPTIONS_OUTSTANDING</t>
  </si>
  <si>
    <t>Deuda neta</t>
  </si>
  <si>
    <t>NET_DEBT</t>
  </si>
  <si>
    <t>Deuda neta a capital</t>
  </si>
  <si>
    <t>NET_DEBT_TO_SHRHLDR_EQTY</t>
  </si>
  <si>
    <t>Ratio de capital ordinario tangible</t>
  </si>
  <si>
    <t>TCE_RATIO</t>
  </si>
  <si>
    <t>Ratio corriente</t>
  </si>
  <si>
    <t>CUR_RATIO</t>
  </si>
  <si>
    <t>Ciclo de conversión de efectivo</t>
  </si>
  <si>
    <t>CASH_CONVERSION_CYCLE</t>
  </si>
  <si>
    <t>Efectivo en el extranjero</t>
  </si>
  <si>
    <t>BS_CASH_HELD_OVERSEAS</t>
  </si>
  <si>
    <t>Número de empleados</t>
  </si>
  <si>
    <t>NUM_OF_EMPLOYEES</t>
  </si>
  <si>
    <t>Efectivo de actividades operacionales</t>
  </si>
  <si>
    <t xml:space="preserve">  + Ingreso neto</t>
  </si>
  <si>
    <t>CF_NET_INC</t>
  </si>
  <si>
    <t xml:space="preserve">  + Depreciación + amortización</t>
  </si>
  <si>
    <t>CF_DEPR_AMORT</t>
  </si>
  <si>
    <t xml:space="preserve">  + Partidas no monetarias</t>
  </si>
  <si>
    <t>NON_CASH_ITEMS_DETAILED</t>
  </si>
  <si>
    <t xml:space="preserve">    + Compensación en acciones</t>
  </si>
  <si>
    <t>CF_STOCK_BASED_COMPENSATION</t>
  </si>
  <si>
    <t xml:space="preserve">    + Impuestos al ingreso diferidos</t>
  </si>
  <si>
    <t>CF_DEF_INC_TAX</t>
  </si>
  <si>
    <t xml:space="preserve">    + Otros ajustes no en efectivo</t>
  </si>
  <si>
    <t>OTHER_NON_CASH_ADJ_LESS_DETAILED</t>
  </si>
  <si>
    <t xml:space="preserve">  + Var en fondo de maniobra no en efectivo</t>
  </si>
  <si>
    <t>CF_CHNG_NON_CASH_WORK_CAP</t>
  </si>
  <si>
    <t xml:space="preserve">    + Aum (baja) de otros</t>
  </si>
  <si>
    <t>INC_DEC_IN_OT_OP_AST_LIAB_DETAIL</t>
  </si>
  <si>
    <t xml:space="preserve">  + Efectivo neto de ops disc</t>
  </si>
  <si>
    <t>CF_NET_CASH_DISCONT_OPS_OPER</t>
  </si>
  <si>
    <t>Efectivo de actividades de inversión</t>
  </si>
  <si>
    <t xml:space="preserve">  + Cambio en fijos e intangibles</t>
  </si>
  <si>
    <t>FIXED_INTANG_ASST_CHANGE</t>
  </si>
  <si>
    <t xml:space="preserve">    + Desp en fijos e intangibles</t>
  </si>
  <si>
    <t>DISPOSAL_OF_FIXED_INTANG</t>
  </si>
  <si>
    <t xml:space="preserve">    + Desp de activos fijos prod</t>
  </si>
  <si>
    <t>CF_DISPOSAL_OF_FIXED_PROD_ASSETS</t>
  </si>
  <si>
    <t xml:space="preserve">    + Desp de activos intangibles</t>
  </si>
  <si>
    <t>CF_DISPOSAL_OF_INTANGIBLE_ASSETS</t>
  </si>
  <si>
    <t xml:space="preserve">    + Adq de fijos e intangibles</t>
  </si>
  <si>
    <t>ACQUIS_OF_FIXED_INTANG</t>
  </si>
  <si>
    <t xml:space="preserve">    + Adq de activos fijos prod</t>
  </si>
  <si>
    <t>CF_PURCHASE_OF_FIXED_PROD_ASSETS</t>
  </si>
  <si>
    <t xml:space="preserve">    + Adq de activos intangibles</t>
  </si>
  <si>
    <t>CF_ACQUISITION_OF_INTANG_ASSETS</t>
  </si>
  <si>
    <t xml:space="preserve">  + Cambio neto en inversiones LP</t>
  </si>
  <si>
    <t>NET_CHG_IN_LT_INVEST_DETAILED</t>
  </si>
  <si>
    <t xml:space="preserve">    + Dec en inversiones LP</t>
  </si>
  <si>
    <t>CF_DECR_INVEST</t>
  </si>
  <si>
    <t xml:space="preserve">    + Inc en inversiones LP</t>
  </si>
  <si>
    <t>CF_INCR_INVEST</t>
  </si>
  <si>
    <t xml:space="preserve">  + Efectivo neto de adq y div</t>
  </si>
  <si>
    <t>CF_NT_CSH_RCVD_PD_FOR_ACQUIS_DIV</t>
  </si>
  <si>
    <t xml:space="preserve">    + Efectivo por despojos</t>
  </si>
  <si>
    <t>CF_CASH_FOR_DIVESTITURES</t>
  </si>
  <si>
    <t xml:space="preserve">    + Efectivo para adq de subs</t>
  </si>
  <si>
    <t>CF_CASH_FOR_ACQUIS_SUBSIDIARIES</t>
  </si>
  <si>
    <t xml:space="preserve">    + Efectivo para JVs</t>
  </si>
  <si>
    <t>CF_CASH_FOR_JOINT_VENTURES_ASSOC</t>
  </si>
  <si>
    <t xml:space="preserve">  + Otras actividades de inversión</t>
  </si>
  <si>
    <t>OTHER_INVESTING_ACT_DETAILED</t>
  </si>
  <si>
    <t>CF_NET_CASH_DISCONTINUED_OPS_INV</t>
  </si>
  <si>
    <t>CF_CASH_FROM_INV_ACT</t>
  </si>
  <si>
    <t>Efectivo de actividades de financiación</t>
  </si>
  <si>
    <t xml:space="preserve">  + Dividendos pagados</t>
  </si>
  <si>
    <t>CF_DVD_PAID</t>
  </si>
  <si>
    <t xml:space="preserve">  + Efectivo de (pagos) deuda</t>
  </si>
  <si>
    <t>PROC_FR_REPAYMNTS_BOR_DETAILED</t>
  </si>
  <si>
    <t xml:space="preserve">  + Efectivo (recompra) de acciones</t>
  </si>
  <si>
    <t>PROC_FR_REPURCH_EQTY_DETAILED</t>
  </si>
  <si>
    <t xml:space="preserve">    + Aumento en capital</t>
  </si>
  <si>
    <t>CF_INCR_CAP_STOCK</t>
  </si>
  <si>
    <t xml:space="preserve">    + Baja en capital</t>
  </si>
  <si>
    <t>CF_DECR_CAP_STOCK</t>
  </si>
  <si>
    <t xml:space="preserve">  + Otras actividades de financiación</t>
  </si>
  <si>
    <t>OTHER_FIN_AND_DEC_CAP</t>
  </si>
  <si>
    <t>CF_NET_CASH_DISCONTINUED_OPS_FIN</t>
  </si>
  <si>
    <t>CFF_ACTIVITIES_DETAILED</t>
  </si>
  <si>
    <t xml:space="preserve">  Efecto de los tipos de cambio</t>
  </si>
  <si>
    <t>CF_EFFECT_FOREIGN_EXCHANGES</t>
  </si>
  <si>
    <t>Cambios netos en el efectivo</t>
  </si>
  <si>
    <t>CF_NET_CHNG_CASH</t>
  </si>
  <si>
    <t>Efectivo pagado por impuestos</t>
  </si>
  <si>
    <t>CF_CASH_PAID_FOR_TAX</t>
  </si>
  <si>
    <t>Efectivo pagado en intereses</t>
  </si>
  <si>
    <t>CF_ACT_CASH_PAID_FOR_INT_DEBT</t>
  </si>
  <si>
    <t>Margen EBITDA últimos 12M</t>
  </si>
  <si>
    <t>Efectivo neto desembolsado por adquisiciones</t>
  </si>
  <si>
    <t>CF_NET_CASH_PAID_FOR_AQUIS</t>
  </si>
  <si>
    <t>Flujo de caja libre a empresa</t>
  </si>
  <si>
    <t>CF_FREE_CASH_FLOW_FIRM</t>
  </si>
  <si>
    <t>Flujo libre de caja a capital</t>
  </si>
  <si>
    <t>FREE_CASH_FLOW_EQUITY</t>
  </si>
  <si>
    <t>Flujo libre de caja por acción</t>
  </si>
  <si>
    <t>FREE_CASH_FLOW_PER_SH</t>
  </si>
  <si>
    <t>Precio a flujo de caja libre</t>
  </si>
  <si>
    <t>PX_TO_FREE_CASH_FLOW</t>
  </si>
  <si>
    <t>Flujo de caja a beneficio neto</t>
  </si>
  <si>
    <t>CASH_FLOW_TO_NET_INC</t>
  </si>
  <si>
    <t>Coca-Cola Co/The- Declaración financiera de empresa (Múltiples periodos)</t>
  </si>
  <si>
    <t>KO US Equity    Periodicidad:A    Divisa:USD    Estimación Fuente:BST    Fuente efectiva: Bloomberg</t>
  </si>
  <si>
    <t>2026 A (Fwd)</t>
  </si>
  <si>
    <t>2027 A (Fwd)</t>
  </si>
  <si>
    <t>2028 A (Fwd)</t>
  </si>
  <si>
    <t>2029 A (Fwd)</t>
  </si>
  <si>
    <t>2030 A (Fwd)</t>
  </si>
  <si>
    <t>2031 A (Fwd)</t>
  </si>
  <si>
    <t>2032 A (Fwd)</t>
  </si>
  <si>
    <t>2033 A (Fwd)</t>
  </si>
  <si>
    <t>2034 A (Fwd)</t>
  </si>
  <si>
    <t>2035 A (Fwd)</t>
  </si>
  <si>
    <t>% 1 meses terminando</t>
  </si>
  <si>
    <t>Expresión de campo</t>
  </si>
  <si>
    <t>Campo calcrt</t>
  </si>
  <si>
    <t xml:space="preserve">  Highlights</t>
  </si>
  <si>
    <t xml:space="preserve">  BPA estimados ajustados comparables</t>
  </si>
  <si>
    <t>IS_COMP_EPS_ADJUSTED_OLD</t>
  </si>
  <si>
    <t>IS900</t>
  </si>
  <si>
    <t xml:space="preserve">  Est de ventas comparables</t>
  </si>
  <si>
    <t>IS_COMP_SALES</t>
  </si>
  <si>
    <t>IS902</t>
  </si>
  <si>
    <t xml:space="preserve">  Ingreso</t>
  </si>
  <si>
    <t>IS010</t>
  </si>
  <si>
    <t xml:space="preserve">  </t>
  </si>
  <si>
    <t xml:space="preserve">  Tasa de crecimiento orgánico</t>
  </si>
  <si>
    <t>IS_ORGANIC_GROWTH_RATE</t>
  </si>
  <si>
    <t>IS950</t>
  </si>
  <si>
    <t xml:space="preserve">  Cambio en ventas porcentual precio</t>
  </si>
  <si>
    <t>IS_PCT_SALES_CHANGE_PRICE</t>
  </si>
  <si>
    <t>IM762</t>
  </si>
  <si>
    <t xml:space="preserve">  Cambio en ventas porcentual volumen</t>
  </si>
  <si>
    <t>IS_PCT_SALES_CHANGE_VOLUME</t>
  </si>
  <si>
    <t>IM763</t>
  </si>
  <si>
    <t xml:space="preserve">  Volume Growth Percentage</t>
  </si>
  <si>
    <t>VOLUME_GROWTH_PERCENTAGE</t>
  </si>
  <si>
    <t>M6035</t>
  </si>
  <si>
    <t xml:space="preserve">  IS Sales Change - Currencies (%)</t>
  </si>
  <si>
    <t>IS_SALES_CHANGE_CURRENCIES_PCT</t>
  </si>
  <si>
    <t>IC056</t>
  </si>
  <si>
    <t xml:space="preserve">  IS Sales Change - Aquis and Divest (%)</t>
  </si>
  <si>
    <t>IS_SALES_CHG_ACQ_AND_DIVEST_PCT</t>
  </si>
  <si>
    <t>IC057</t>
  </si>
  <si>
    <t xml:space="preserve">  Business Revenue</t>
  </si>
  <si>
    <t xml:space="preserve">    Bottling Investments</t>
  </si>
  <si>
    <t>IS_ADJ_REVENUE_COMP_BASIS_INCLUDING_INTERSEG</t>
  </si>
  <si>
    <t>IC602</t>
  </si>
  <si>
    <t xml:space="preserve">    Corporate</t>
  </si>
  <si>
    <t xml:space="preserve">    Eliminations</t>
  </si>
  <si>
    <t xml:space="preserve">  Regional Revenue</t>
  </si>
  <si>
    <t xml:space="preserve">    Europe, Middle East, &amp; Africa</t>
  </si>
  <si>
    <t xml:space="preserve">    Latin America</t>
  </si>
  <si>
    <t xml:space="preserve">    North America</t>
  </si>
  <si>
    <t xml:space="preserve">    Asia Pacific</t>
  </si>
  <si>
    <t xml:space="preserve">  Porcentaje de margen bruto comparable</t>
  </si>
  <si>
    <t>IS_COMP_GROSS_MARGIN_PERCENTAGE</t>
  </si>
  <si>
    <t>IM092</t>
  </si>
  <si>
    <t xml:space="preserve">  EBIT comparable</t>
  </si>
  <si>
    <t>IS_COMPARABLE_EBIT</t>
  </si>
  <si>
    <t>IM132</t>
  </si>
  <si>
    <t xml:space="preserve">  Estimación de gastos de capital comparables</t>
  </si>
  <si>
    <t>HEADLINE_CAPEX</t>
  </si>
  <si>
    <t>F1705</t>
  </si>
  <si>
    <t xml:space="preserve">  Company Operating Metrics</t>
  </si>
  <si>
    <t xml:space="preserve">  Company-Level Industry Statistics</t>
  </si>
  <si>
    <t xml:space="preserve">    Europe, Middle East &amp; Africa</t>
  </si>
  <si>
    <t xml:space="preserve">    Bottling Investment</t>
  </si>
  <si>
    <t xml:space="preserve">    Sparkling Soft Drinks</t>
  </si>
  <si>
    <t xml:space="preserve">      Trademark Coca-Cola</t>
  </si>
  <si>
    <t xml:space="preserve">      Coca-Cola Zero Sugar</t>
  </si>
  <si>
    <t xml:space="preserve">      Sparkling Flavors</t>
  </si>
  <si>
    <t xml:space="preserve">    Juice, Dairy, &amp; Plant-Based Beverages</t>
  </si>
  <si>
    <t xml:space="preserve">    Water, Sports, Coffee and Tea</t>
  </si>
  <si>
    <t xml:space="preserve">      Water</t>
  </si>
  <si>
    <t xml:space="preserve">      Sports Drinks</t>
  </si>
  <si>
    <t xml:space="preserve">      Coffee</t>
  </si>
  <si>
    <t xml:space="preserve">      Tea</t>
  </si>
  <si>
    <t xml:space="preserve">  Operating Income - CC Growth (%)</t>
  </si>
  <si>
    <t>IS_ADJ_OP_INC_GRWTH_PCT_CHG_IN_CC</t>
  </si>
  <si>
    <t>IM701</t>
  </si>
  <si>
    <t xml:space="preserve">  Prior Disclosures</t>
  </si>
  <si>
    <t xml:space="preserve">    Global Ventures Organic Growth</t>
  </si>
  <si>
    <t xml:space="preserve">    Global Ventures Price/Mix</t>
  </si>
  <si>
    <t xml:space="preserve">    Global Ventures Change in Concentrate Revenue</t>
  </si>
  <si>
    <t xml:space="preserve">    Global Ventures Unit Case Volume</t>
  </si>
  <si>
    <t xml:space="preserve">    Global Ventures FX Impact</t>
  </si>
  <si>
    <t xml:space="preserve">    Global Ventures M&amp;A Impact</t>
  </si>
  <si>
    <t xml:space="preserve">    Global Ventures Operating Income CC</t>
  </si>
  <si>
    <t xml:space="preserve">  Business Breakdown</t>
  </si>
  <si>
    <t xml:space="preserve">  Bottling Investments</t>
  </si>
  <si>
    <t xml:space="preserve">    Net Operating Revenue</t>
  </si>
  <si>
    <t xml:space="preserve">      As % of Revenue</t>
  </si>
  <si>
    <t>IS_PERCENTAGE_OF_REVENUE</t>
  </si>
  <si>
    <t>IC214</t>
  </si>
  <si>
    <t xml:space="preserve">    GAAP Operating Income</t>
  </si>
  <si>
    <t>IS033</t>
  </si>
  <si>
    <t xml:space="preserve">    Adjusted Operating Income</t>
  </si>
  <si>
    <t>IS_ADJ_EBIT_OP_INC_AS_REPORTED</t>
  </si>
  <si>
    <t>IS922</t>
  </si>
  <si>
    <t xml:space="preserve">      Operating Margin (%)</t>
  </si>
  <si>
    <t>CB_IS_OPERATING_MARGIN</t>
  </si>
  <si>
    <t>IC231</t>
  </si>
  <si>
    <t xml:space="preserve">  Corporate</t>
  </si>
  <si>
    <t xml:space="preserve">    Capital Expenditures</t>
  </si>
  <si>
    <t>IS_CAPEX_AS_REPORTED</t>
  </si>
  <si>
    <t>IM168</t>
  </si>
  <si>
    <t xml:space="preserve">  Eliminations</t>
  </si>
  <si>
    <t xml:space="preserve">    Global Ventures</t>
  </si>
  <si>
    <t xml:space="preserve">  Regional Breakdown</t>
  </si>
  <si>
    <t xml:space="preserve">  Europe, Middle East &amp; Africa</t>
  </si>
  <si>
    <t xml:space="preserve">    GAAP Net Operating Revenue</t>
  </si>
  <si>
    <t xml:space="preserve">    Adjusted Revenue</t>
  </si>
  <si>
    <t xml:space="preserve">  Product Breakdown</t>
  </si>
  <si>
    <t xml:space="preserve">  Concentrate Operations</t>
  </si>
  <si>
    <t xml:space="preserve">    International</t>
  </si>
  <si>
    <t xml:space="preserve">    United States</t>
  </si>
  <si>
    <t xml:space="preserve">  Finished Product Operations</t>
  </si>
  <si>
    <t xml:space="preserve">  Income Statement (Adjusted)</t>
  </si>
  <si>
    <t xml:space="preserve">  Coste de bienes vendidos ajustado - según informe</t>
  </si>
  <si>
    <t>IS_ADJUSTED_COGS_AS_REPORTED</t>
  </si>
  <si>
    <t>IM057</t>
  </si>
  <si>
    <t xml:space="preserve">    Coste de ventas a ventas netas</t>
  </si>
  <si>
    <t>COGS_TO_NET_SALES</t>
  </si>
  <si>
    <t>RR279</t>
  </si>
  <si>
    <t xml:space="preserve">  Beneficio bruto ajustado - Según informe</t>
  </si>
  <si>
    <t>IS_ADJ_GROSS_PROFIT_AS_REPORTED</t>
  </si>
  <si>
    <t>IS923</t>
  </si>
  <si>
    <t xml:space="preserve">    Porcentaje de margen bruto comparable</t>
  </si>
  <si>
    <t xml:space="preserve">  SG&amp;A ajustados - Según informe</t>
  </si>
  <si>
    <t>IS_ADJ_SG_AND_A_AS_REPORTED</t>
  </si>
  <si>
    <t>IS926</t>
  </si>
  <si>
    <t xml:space="preserve">    SG&amp;A ajustados a ventas</t>
  </si>
  <si>
    <t>ADJ_SG_AND_A_TO_SALES</t>
  </si>
  <si>
    <t>RX613</t>
  </si>
  <si>
    <t xml:space="preserve">    Margen operacional ajustado</t>
  </si>
  <si>
    <t>CB_IS_ADJ_OPERATING_MARGIN</t>
  </si>
  <si>
    <t>IM731</t>
  </si>
  <si>
    <t xml:space="preserve">  Depreciación + amortización</t>
  </si>
  <si>
    <t>CF011</t>
  </si>
  <si>
    <t xml:space="preserve">    Depreciación y amortización a ventas</t>
  </si>
  <si>
    <t>D_AND_A_TO_SALES</t>
  </si>
  <si>
    <t>RX877</t>
  </si>
  <si>
    <t xml:space="preserve">    Gasto en amortización</t>
  </si>
  <si>
    <t>IS_AMORTIZATION_EXPENSE</t>
  </si>
  <si>
    <t>IM011</t>
  </si>
  <si>
    <t xml:space="preserve">  EBITDA comparable</t>
  </si>
  <si>
    <t>IS_COMPARABLE_EBITDA</t>
  </si>
  <si>
    <t>IM131</t>
  </si>
  <si>
    <t xml:space="preserve">  Gasto de intereses ajustado, basis de empresa</t>
  </si>
  <si>
    <t>CB_IS_ADJ_INT_EXPN</t>
  </si>
  <si>
    <t>IM729</t>
  </si>
  <si>
    <t xml:space="preserve">  Ingresos de intereses</t>
  </si>
  <si>
    <t>IS011</t>
  </si>
  <si>
    <t xml:space="preserve">  Beneficios de inversiones de filiales de capital ajustado - basis de la empresa</t>
  </si>
  <si>
    <t>CB_IS_ADJ_EQTY_ERN_INV_ASSOC</t>
  </si>
  <si>
    <t>IC011</t>
  </si>
  <si>
    <t xml:space="preserve">  Ingresos, gastos no operacionales ajustados en base de empr</t>
  </si>
  <si>
    <t>CB_IS_ADJ_NONOP_INC_EXPN</t>
  </si>
  <si>
    <t>IM745</t>
  </si>
  <si>
    <t xml:space="preserve">  PTP comparable excluyendo remuneración basada en acciones</t>
  </si>
  <si>
    <t>IS_COMP_PTP_EX_STK_BASED_COMP</t>
  </si>
  <si>
    <t>IM383</t>
  </si>
  <si>
    <t xml:space="preserve">    Margen de beneficio antes de impuestos ajustado - según declarado</t>
  </si>
  <si>
    <t>ADJUSTED_PTP_MARGIN_AS_REPORTED</t>
  </si>
  <si>
    <t>RX616</t>
  </si>
  <si>
    <t xml:space="preserve">  Gasto de impuesto sobre la renta ajustado, basis de empresa</t>
  </si>
  <si>
    <t>CB_IS_ADJ_INC_TAX_EXPN</t>
  </si>
  <si>
    <t>IM730</t>
  </si>
  <si>
    <t xml:space="preserve">    Porcentaje ETR ajustado - basis de empresa</t>
  </si>
  <si>
    <t>CB_IS_ADJUSTED_ETR_PCT</t>
  </si>
  <si>
    <t>IM791</t>
  </si>
  <si>
    <t xml:space="preserve">  Participación minoritaria/no dominante (créditos)</t>
  </si>
  <si>
    <t>IS043</t>
  </si>
  <si>
    <t xml:space="preserve">  Est de ingreso neto ajustado comparable</t>
  </si>
  <si>
    <t>IS_COMP_NET_INCOME_ADJUST_OLD</t>
  </si>
  <si>
    <t>IS903</t>
  </si>
  <si>
    <t xml:space="preserve">    Margen de beneficio ajustado</t>
  </si>
  <si>
    <t>ADJ_PROFIT_MARGIN</t>
  </si>
  <si>
    <t>RX611</t>
  </si>
  <si>
    <t xml:space="preserve">  Promedio de acciones diluidas ajustadas en base de empresa</t>
  </si>
  <si>
    <t>CB_IS_ADJ_DILUTED_AVG_SHS</t>
  </si>
  <si>
    <t>IM746</t>
  </si>
  <si>
    <t xml:space="preserve">    Crecimiento de BPA diluido ajustado YoY</t>
  </si>
  <si>
    <t>RR_DIL_EPS_CONT_OPS_GROWTH</t>
  </si>
  <si>
    <t>RR236</t>
  </si>
  <si>
    <t xml:space="preserve">  Estimación de dividendo comparable por acción</t>
  </si>
  <si>
    <t>HEADLINE_DPS</t>
  </si>
  <si>
    <t>F1700</t>
  </si>
  <si>
    <t xml:space="preserve">    Ratio de pago de dividendos - Beneficios normalizados</t>
  </si>
  <si>
    <t>DVD_PAYOUT_RATIO_NORMALIZED_EARN</t>
  </si>
  <si>
    <t>F0721</t>
  </si>
  <si>
    <t xml:space="preserve">  GAAP Results</t>
  </si>
  <si>
    <t xml:space="preserve">    Ingreso</t>
  </si>
  <si>
    <t xml:space="preserve">    Cost Of Goods Sold - Company Basis</t>
  </si>
  <si>
    <t>CB_IS_COGS</t>
  </si>
  <si>
    <t>IL246</t>
  </si>
  <si>
    <t xml:space="preserve">    Beneficio bruto</t>
  </si>
  <si>
    <t>RR861</t>
  </si>
  <si>
    <t xml:space="preserve">    CB general y administrativo de venta</t>
  </si>
  <si>
    <t>CB_IS_SELLING_GENERAL_AND_ADMIN</t>
  </si>
  <si>
    <t>IC235</t>
  </si>
  <si>
    <t xml:space="preserve">    Gastos de distribución</t>
  </si>
  <si>
    <t>IS_DISTRIBUTION_EXPENSES</t>
  </si>
  <si>
    <t>IM171</t>
  </si>
  <si>
    <t xml:space="preserve">    Gastos de publicidad</t>
  </si>
  <si>
    <t>IS_ADVERTISING_EXPENSES</t>
  </si>
  <si>
    <t>IM557</t>
  </si>
  <si>
    <t xml:space="preserve">    Otro gasto operacional en basis de la empresa</t>
  </si>
  <si>
    <t>CB_IS_OTHER_OPEX</t>
  </si>
  <si>
    <t>IC410</t>
  </si>
  <si>
    <t xml:space="preserve">    Beneficios o pérdidas operativos</t>
  </si>
  <si>
    <t xml:space="preserve">      Margen operacional</t>
  </si>
  <si>
    <t>RR026</t>
  </si>
  <si>
    <t xml:space="preserve">    Gasto neto de intereses</t>
  </si>
  <si>
    <t>IS325</t>
  </si>
  <si>
    <t xml:space="preserve">    Gastos de intereses</t>
  </si>
  <si>
    <t>IS034</t>
  </si>
  <si>
    <t xml:space="preserve">    Ingresos (pérdidas) de filiales</t>
  </si>
  <si>
    <t>IS_EQY_EARN_FROM_INVEST_ASSOC</t>
  </si>
  <si>
    <t>IS085</t>
  </si>
  <si>
    <t xml:space="preserve">    Otros ingresos no operacionales gastos BE</t>
  </si>
  <si>
    <t>CB_IS_OTHER_NON_OPER_INC_EXPN</t>
  </si>
  <si>
    <t>IC447</t>
  </si>
  <si>
    <t xml:space="preserve">    Gasto (beneficio) de impuestos sobre la renta</t>
  </si>
  <si>
    <t>IS038</t>
  </si>
  <si>
    <t xml:space="preserve">      Tasa impositiva efectiva</t>
  </si>
  <si>
    <t>RR037</t>
  </si>
  <si>
    <t xml:space="preserve">    Ingreso antes de impuestos</t>
  </si>
  <si>
    <t>RR001</t>
  </si>
  <si>
    <t xml:space="preserve">      Margen antes de impuestos</t>
  </si>
  <si>
    <t>PRETAX_MARGIN</t>
  </si>
  <si>
    <t>RR027</t>
  </si>
  <si>
    <t xml:space="preserve">    Est de ingreso neto comp sin compens en acciones</t>
  </si>
  <si>
    <t>IS_COMP_NET_INC_EXCL_STOCK_COMP</t>
  </si>
  <si>
    <t>IS908</t>
  </si>
  <si>
    <t xml:space="preserve">    Beneficio neto comparable estimado GAAP</t>
  </si>
  <si>
    <t>IS_COMP_NET_INCOME_GAAP</t>
  </si>
  <si>
    <t>IS904</t>
  </si>
  <si>
    <t xml:space="preserve">    Número promedio de acciones ponderadas básico</t>
  </si>
  <si>
    <t>IS060</t>
  </si>
  <si>
    <t xml:space="preserve">    BPA comparables estimados GAAP</t>
  </si>
  <si>
    <t>IS_COMP_EPS_GAAP</t>
  </si>
  <si>
    <t>IS901</t>
  </si>
  <si>
    <t xml:space="preserve">  Condensed Balance Sheet</t>
  </si>
  <si>
    <t xml:space="preserve">  Assets</t>
  </si>
  <si>
    <t xml:space="preserve">    Activos corrientes totales</t>
  </si>
  <si>
    <t>BS015</t>
  </si>
  <si>
    <t xml:space="preserve">      Efectivo y cuasi efectivo</t>
  </si>
  <si>
    <t>BS010</t>
  </si>
  <si>
    <t xml:space="preserve">      Inversiones a corto plazo</t>
  </si>
  <si>
    <t>BS011</t>
  </si>
  <si>
    <t xml:space="preserve">        Base de empresa de inversión a corto plazo</t>
  </si>
  <si>
    <t>CB_BS_ST_INVESTMENT</t>
  </si>
  <si>
    <t>BM882</t>
  </si>
  <si>
    <t xml:space="preserve">      Cuentas por cobrar - netas</t>
  </si>
  <si>
    <t>BS496</t>
  </si>
  <si>
    <t xml:space="preserve">      Inventarios</t>
  </si>
  <si>
    <t>BS013</t>
  </si>
  <si>
    <t xml:space="preserve">      Short Term Marketable Securities</t>
  </si>
  <si>
    <t>CB_BS_ST_MARKETABLE_SECS</t>
  </si>
  <si>
    <t>BL347</t>
  </si>
  <si>
    <t xml:space="preserve">      Otros activos corrientes</t>
  </si>
  <si>
    <t>BS_OTHER_CUR_ASSET</t>
  </si>
  <si>
    <t>BS014</t>
  </si>
  <si>
    <t xml:space="preserve">    Activos no circulantes totales</t>
  </si>
  <si>
    <t>BS_TOTAL_NON_CURRENT_ASSETS</t>
  </si>
  <si>
    <t>BM321</t>
  </si>
  <si>
    <t xml:space="preserve">      Propiedad, planta y equipo netos en basis de la empresa</t>
  </si>
  <si>
    <t>CB_BS_PP_AND_E_NET</t>
  </si>
  <si>
    <t>BM788</t>
  </si>
  <si>
    <t xml:space="preserve">      Patentes, marcas comerciales y derechos de autor</t>
  </si>
  <si>
    <t>BS_PATENTS_TRADEMARKS_COPY_RGHTS</t>
  </si>
  <si>
    <t>BM803</t>
  </si>
  <si>
    <t xml:space="preserve">      Otros activos intangibles</t>
  </si>
  <si>
    <t>BS_OTHER_INTANGIBLE_ASSETS</t>
  </si>
  <si>
    <t>BM282</t>
  </si>
  <si>
    <t xml:space="preserve">      Fondo de comercio</t>
  </si>
  <si>
    <t>BS161</t>
  </si>
  <si>
    <t>F1202</t>
  </si>
  <si>
    <t xml:space="preserve">      Inversiones a largo plazo y cuentas por cobrar</t>
  </si>
  <si>
    <t>BS029</t>
  </si>
  <si>
    <t xml:space="preserve">      Activos de impuestos diferidos - Largo plazo</t>
  </si>
  <si>
    <t>BM079</t>
  </si>
  <si>
    <t xml:space="preserve">      Inversiones en filiales</t>
  </si>
  <si>
    <t>BS089</t>
  </si>
  <si>
    <t xml:space="preserve">      Otros activos no corrientes Base Empresa</t>
  </si>
  <si>
    <t>CB_BS_OTHER_NONCURRENT_ASSETS</t>
  </si>
  <si>
    <t>BM784</t>
  </si>
  <si>
    <t xml:space="preserve">    Activos totales</t>
  </si>
  <si>
    <t>BS035</t>
  </si>
  <si>
    <t xml:space="preserve">  Liabilities &amp; Equity</t>
  </si>
  <si>
    <t xml:space="preserve">    Pasivos circulantes totales</t>
  </si>
  <si>
    <t>BS050</t>
  </si>
  <si>
    <t xml:space="preserve">      Accnts Payable And Accrued Expenses Company Basis</t>
  </si>
  <si>
    <t>CB_BS_ACCT_PYBL_ACC_EXPNSS</t>
  </si>
  <si>
    <t>BL248</t>
  </si>
  <si>
    <t xml:space="preserve">      Deuda a corto plazo</t>
  </si>
  <si>
    <t>BS_ST_DEBT</t>
  </si>
  <si>
    <t>BS124</t>
  </si>
  <si>
    <t xml:space="preserve">      Porción actual de deuda LP</t>
  </si>
  <si>
    <t>BS650</t>
  </si>
  <si>
    <t xml:space="preserve">      Impuestos incurridos</t>
  </si>
  <si>
    <t>BS_ACCRUED_INCOME_TAXES</t>
  </si>
  <si>
    <t>BS495</t>
  </si>
  <si>
    <t xml:space="preserve">    Pasivos totales a largo plazo</t>
  </si>
  <si>
    <t>BS_ADJ_TOTAL_LT_LIABILITIES</t>
  </si>
  <si>
    <t>BS814</t>
  </si>
  <si>
    <t xml:space="preserve">      Préstamos a largo plazo</t>
  </si>
  <si>
    <t>BS_LONG_TERM_BORROWINGS</t>
  </si>
  <si>
    <t>BM286</t>
  </si>
  <si>
    <t xml:space="preserve">      Pasivos de impuestos diferidos - Largo plazo</t>
  </si>
  <si>
    <t>BM080</t>
  </si>
  <si>
    <t xml:space="preserve">      Otros pasivos no corrientes Base Empresa</t>
  </si>
  <si>
    <t>CB_BS_OTHER_NONCURRENT_LIABS</t>
  </si>
  <si>
    <t>BM785</t>
  </si>
  <si>
    <t xml:space="preserve">    Pasivos totales</t>
  </si>
  <si>
    <t>BS_TOTAL_LIABILITIES</t>
  </si>
  <si>
    <t>BS729</t>
  </si>
  <si>
    <t xml:space="preserve">    Capital social - Periodo final</t>
  </si>
  <si>
    <t>BS_SHAREHOLDER_EQY_ENDING_PERIOD</t>
  </si>
  <si>
    <t>BM277</t>
  </si>
  <si>
    <t xml:space="preserve">      Capital antes de interés minoritario</t>
  </si>
  <si>
    <t>BS_EQTY_BEFORE_MINORITY_INT</t>
  </si>
  <si>
    <t>BM348</t>
  </si>
  <si>
    <t xml:space="preserve">        Capital adicional pagado</t>
  </si>
  <si>
    <t>BS122</t>
  </si>
  <si>
    <t xml:space="preserve">        Beneficios retenidos</t>
  </si>
  <si>
    <t>BS190</t>
  </si>
  <si>
    <t xml:space="preserve">        Otros ingresos acumulados</t>
  </si>
  <si>
    <t>BS_ACCUMULATED_OTHER_COMP_INC</t>
  </si>
  <si>
    <t>BM255</t>
  </si>
  <si>
    <t xml:space="preserve">      Participación minoritaria/no dominante</t>
  </si>
  <si>
    <t>BS062</t>
  </si>
  <si>
    <t xml:space="preserve">  Special Company Reference Items</t>
  </si>
  <si>
    <t xml:space="preserve">    EBITDA de deuda neta</t>
  </si>
  <si>
    <t>CB_BS_NET_DEBT_EBITDA</t>
  </si>
  <si>
    <t>BM577</t>
  </si>
  <si>
    <t xml:space="preserve">    Deuda neta</t>
  </si>
  <si>
    <t>RR208</t>
  </si>
  <si>
    <t xml:space="preserve">    Pasivo no deuda</t>
  </si>
  <si>
    <t>LIAB_NOT_BORROWINGS</t>
  </si>
  <si>
    <t>RR539</t>
  </si>
  <si>
    <t xml:space="preserve">      Deuda a largo y a corto plazo</t>
  </si>
  <si>
    <t>RR251</t>
  </si>
  <si>
    <t xml:space="preserve">      Deuda total a EBITDA</t>
  </si>
  <si>
    <t>TOT_DEBT_TO_EBITDA</t>
  </si>
  <si>
    <t>RR052</t>
  </si>
  <si>
    <t xml:space="preserve">    </t>
  </si>
  <si>
    <t xml:space="preserve">    Estimación de rentabilidad comparable sobre los activos</t>
  </si>
  <si>
    <t>HEADLINE_ROA</t>
  </si>
  <si>
    <t>F1703</t>
  </si>
  <si>
    <t xml:space="preserve">    Estimación de rentabilidad comparable sobre las acciones</t>
  </si>
  <si>
    <t>HEADLINE_ROE</t>
  </si>
  <si>
    <t>F1704</t>
  </si>
  <si>
    <t xml:space="preserve">    Días anualizados de ventas</t>
  </si>
  <si>
    <t>ANNUALIZED_DAYS_SALES_OUTSTDG</t>
  </si>
  <si>
    <t>F0837</t>
  </si>
  <si>
    <t xml:space="preserve">    Ratio corriente</t>
  </si>
  <si>
    <t>RR053</t>
  </si>
  <si>
    <t xml:space="preserve">    Valor contable por acción informado</t>
  </si>
  <si>
    <t>BS_BOOK_VALUE_PER_SH_AS_REPORTED</t>
  </si>
  <si>
    <t>BM031</t>
  </si>
  <si>
    <t xml:space="preserve">    Activos intangibles netos excluyendo fondo de comercio en basis de la empresa</t>
  </si>
  <si>
    <t>CB_BS_INTANG_ASSETS_EX_GW_NT</t>
  </si>
  <si>
    <t>BM787</t>
  </si>
  <si>
    <t xml:space="preserve">    Número total de acciones recompradas</t>
  </si>
  <si>
    <t>BS_SHARES_REPURCHASED_NUMBER</t>
  </si>
  <si>
    <t>BM002</t>
  </si>
  <si>
    <t xml:space="preserve">  Condensed Cash Flow Statement</t>
  </si>
  <si>
    <t xml:space="preserve">  Cash from Operating Activities</t>
  </si>
  <si>
    <t xml:space="preserve">    Depreciación + amortización</t>
  </si>
  <si>
    <t xml:space="preserve">      Gasto en amortización</t>
  </si>
  <si>
    <t xml:space="preserve">    Gasto de compensación en acciones</t>
  </si>
  <si>
    <t>IS_EXPENSE_STOCK_BASED_COMP</t>
  </si>
  <si>
    <t>IS323</t>
  </si>
  <si>
    <t xml:space="preserve">    Ganancias/pérdidas por enajenación de activos</t>
  </si>
  <si>
    <t>CB_CF_GL_ON_DISPOSAL_ASSETS</t>
  </si>
  <si>
    <t>CF507</t>
  </si>
  <si>
    <t xml:space="preserve">    Foreign Exchange Gain Loss</t>
  </si>
  <si>
    <t>CB_CF_FX_GL</t>
  </si>
  <si>
    <t>CF464</t>
  </si>
  <si>
    <t xml:space="preserve">    Impuestos al ingreso diferidos</t>
  </si>
  <si>
    <t>CF103</t>
  </si>
  <si>
    <t xml:space="preserve">    Equity In Earnings Of Afflits Joint Ventures - Cf</t>
  </si>
  <si>
    <t>CB_CF_SHARE_IN_EARNINGS_OF_AFFILIATES</t>
  </si>
  <si>
    <t>CF471</t>
  </si>
  <si>
    <t xml:space="preserve">    Cambios en cap circulante no líquido</t>
  </si>
  <si>
    <t>CF013</t>
  </si>
  <si>
    <t xml:space="preserve">  Efectivo neto de actividades de operaciones CB</t>
  </si>
  <si>
    <t>CB_CF_NET_CASH_OPERATING_ACT</t>
  </si>
  <si>
    <t>CF376</t>
  </si>
  <si>
    <t xml:space="preserve">  Cash from Investing Activities</t>
  </si>
  <si>
    <t xml:space="preserve">    Compras de inversiones</t>
  </si>
  <si>
    <t>CF_PURCHSS_OF_INVSTMNTS</t>
  </si>
  <si>
    <t>CF449</t>
  </si>
  <si>
    <t xml:space="preserve">    Estimación de gastos de capital comparables</t>
  </si>
  <si>
    <t xml:space="preserve">      Gastos de capital a ventas</t>
  </si>
  <si>
    <t>CAP_EXPEND_TO_SALES</t>
  </si>
  <si>
    <t>RR166</t>
  </si>
  <si>
    <t xml:space="preserve">    Despojo de activos fijos de producción</t>
  </si>
  <si>
    <t>CF322</t>
  </si>
  <si>
    <t xml:space="preserve">    Efectivo por la adquisición de subsidiarias</t>
  </si>
  <si>
    <t>CF316</t>
  </si>
  <si>
    <t xml:space="preserve">    Efectivo por despojos</t>
  </si>
  <si>
    <t>CF299</t>
  </si>
  <si>
    <t xml:space="preserve">    Other Investing Activities Company Basis</t>
  </si>
  <si>
    <t>CB_CF_OTHER_INVESTING_ACTIVITIES</t>
  </si>
  <si>
    <t>CF491</t>
  </si>
  <si>
    <t xml:space="preserve">  Efectivo neto de actividades de inversión CB</t>
  </si>
  <si>
    <t>CB_CF_NET_CASH_INVESTING_ACT</t>
  </si>
  <si>
    <t>CF377</t>
  </si>
  <si>
    <t xml:space="preserve">  Cash From Financing Activities</t>
  </si>
  <si>
    <t xml:space="preserve">    Dividendos pagados</t>
  </si>
  <si>
    <t>CF026</t>
  </si>
  <si>
    <t xml:space="preserve">    Importes de pagos de adeudos</t>
  </si>
  <si>
    <t>CF_PROCEEDS_REPAYMNTS_BORROWINGS</t>
  </si>
  <si>
    <t>CF287</t>
  </si>
  <si>
    <t xml:space="preserve">      Increase in ST and Long Term Borrowings</t>
  </si>
  <si>
    <t>CB_CF_INCREASE_IN_ST_AND_LT_BORROWINGS</t>
  </si>
  <si>
    <t>CF520</t>
  </si>
  <si>
    <t xml:space="preserve">      Decrease in ST and Long Term Borrowings</t>
  </si>
  <si>
    <t>CB_CF_DECRSE_IN_ST_AND_LT_BORROWINGS</t>
  </si>
  <si>
    <t>CF519</t>
  </si>
  <si>
    <t xml:space="preserve">    Importes de recompra de capital</t>
  </si>
  <si>
    <t>CF_PROCEEDS_REPURCHASE_EQUITY</t>
  </si>
  <si>
    <t>CF292</t>
  </si>
  <si>
    <t xml:space="preserve">      Incremento en capital accionarioo</t>
  </si>
  <si>
    <t>CF030</t>
  </si>
  <si>
    <t xml:space="preserve">      Disminución en acciones</t>
  </si>
  <si>
    <t>CF031</t>
  </si>
  <si>
    <t xml:space="preserve">        Número de acciones recompradas en el programa de recompra</t>
  </si>
  <si>
    <t>BS_NUM_COM_SHS_REPO_FR_SH_REP_PROG</t>
  </si>
  <si>
    <t>BM379</t>
  </si>
  <si>
    <t xml:space="preserve">    Other Financing Activities</t>
  </si>
  <si>
    <t>CB_CF_OTHER_FINANCING_ACTIVITIES</t>
  </si>
  <si>
    <t>CF470</t>
  </si>
  <si>
    <t xml:space="preserve">  Efectivo neto de actividades de financiación CB</t>
  </si>
  <si>
    <t>CB_CF_NET_CASH_FINANCING_ACT</t>
  </si>
  <si>
    <t>CF378</t>
  </si>
  <si>
    <t xml:space="preserve">    Efecto de los tipos de cambio</t>
  </si>
  <si>
    <t>CF291</t>
  </si>
  <si>
    <t xml:space="preserve">    Cambios netos en el efectivo</t>
  </si>
  <si>
    <t>CF036</t>
  </si>
  <si>
    <t xml:space="preserve">      Efectivo y equivalentes - Saldo inicial</t>
  </si>
  <si>
    <t>CF_CASH_AND_CASH_EQUIV_BEG_BAL</t>
  </si>
  <si>
    <t>CF224</t>
  </si>
  <si>
    <t xml:space="preserve">    Flujo de caja por acción diluida</t>
  </si>
  <si>
    <t>CF_PER_DILUTED_SHARE</t>
  </si>
  <si>
    <t>RR238</t>
  </si>
  <si>
    <t xml:space="preserve">    Estimación del flujo de caja libre comparable</t>
  </si>
  <si>
    <t>HEADLINE_FCF</t>
  </si>
  <si>
    <t>F1709</t>
  </si>
  <si>
    <t xml:space="preserve">      Flujo de caja libre/Acción diluida</t>
  </si>
  <si>
    <t>FCF_PER_DIL_SHR</t>
  </si>
  <si>
    <t>RR228</t>
  </si>
  <si>
    <t xml:space="preserve">    Porcentaje de ratio de conversión de flujo de caja libre</t>
  </si>
  <si>
    <t>CB_FCF_CONVERSION_RATIO_PCT</t>
  </si>
  <si>
    <t>CF413</t>
  </si>
  <si>
    <t xml:space="preserve">    Ingreso neto ajustado - As Reported</t>
  </si>
  <si>
    <t>IS_ADJUSTED_NET_INC_AS_REPORTED</t>
  </si>
  <si>
    <t>IS328</t>
  </si>
  <si>
    <t>Source: Bloomberg</t>
  </si>
  <si>
    <t>Ticker</t>
  </si>
  <si>
    <t>Name</t>
  </si>
  <si>
    <t>Cap mercado (USD)</t>
  </si>
  <si>
    <t>Últ prc (USD)</t>
  </si>
  <si>
    <t>Chg Pct 1D</t>
  </si>
  <si>
    <t>Chg Pct 1M</t>
  </si>
  <si>
    <t>Rev - 1 Yr Gr:Y</t>
  </si>
  <si>
    <t>BPA - Cr 1 añ:A</t>
  </si>
  <si>
    <t>P/E</t>
  </si>
  <si>
    <t>ROE</t>
  </si>
  <si>
    <t>Dvd 12M Yld</t>
  </si>
  <si>
    <t>None (14 securities)</t>
  </si>
  <si>
    <t>Median</t>
  </si>
  <si>
    <t>KO US Equity</t>
  </si>
  <si>
    <t>COCA-COLA CO/THE</t>
  </si>
  <si>
    <t>COKE US Equity</t>
  </si>
  <si>
    <t>COCA-COLA CONSOLIDATED INC</t>
  </si>
  <si>
    <t>#N/A N/A</t>
  </si>
  <si>
    <t>COCO US Equity</t>
  </si>
  <si>
    <t>VITA COCO CO INC/THE</t>
  </si>
  <si>
    <t>FIZZ US Equity</t>
  </si>
  <si>
    <t>NATIONAL BEVERAGE CORP</t>
  </si>
  <si>
    <t>MNST US Equity</t>
  </si>
  <si>
    <t>MONSTER BEVERAGE CORP</t>
  </si>
  <si>
    <t>KDP US Equity</t>
  </si>
  <si>
    <t>KEURIG DR PEPPER INC</t>
  </si>
  <si>
    <t>PRMB US Equity</t>
  </si>
  <si>
    <t>PRIMO BRANDS CORP</t>
  </si>
  <si>
    <t>CELH US Equity</t>
  </si>
  <si>
    <t>CELSIUS HOLDINGS INC</t>
  </si>
  <si>
    <t>PEP US Equity</t>
  </si>
  <si>
    <t>PEPSICO INC</t>
  </si>
  <si>
    <t>MGPI US Equity</t>
  </si>
  <si>
    <t>MGP INGREDIENTS INC</t>
  </si>
  <si>
    <t>STZ US Equity</t>
  </si>
  <si>
    <t>CONSTELLATION BRANDS INC-A</t>
  </si>
  <si>
    <t>BF/B US Equity</t>
  </si>
  <si>
    <t>BROWN-FORMAN CORP-CLASS B</t>
  </si>
  <si>
    <t>TAP US Equity</t>
  </si>
  <si>
    <t>MOLSON COORS BEVERAGE CO - B</t>
  </si>
  <si>
    <t>SAM US Equity</t>
  </si>
  <si>
    <t>BOSTON BEER COMPANY INC-A</t>
  </si>
  <si>
    <t>WACC - Exit Multiple - Sensitivity Table</t>
  </si>
  <si>
    <t>WACC - Perpetual Growth - Sensitivity Table</t>
  </si>
  <si>
    <t>Exit Multiple</t>
  </si>
  <si>
    <t>Perpetual Growth Rate</t>
  </si>
  <si>
    <t>WACC - Total Payout - Sensitivity Table</t>
  </si>
  <si>
    <t>Ke</t>
  </si>
  <si>
    <t>Damodaran WACC</t>
  </si>
  <si>
    <t>EBIT Margin</t>
  </si>
  <si>
    <t>EBITDA Margin</t>
  </si>
  <si>
    <t>Net Margin</t>
  </si>
  <si>
    <t>Basic BPA / Diluted BPA</t>
  </si>
  <si>
    <t>Profitability Ratios</t>
  </si>
  <si>
    <t>Historic Average</t>
  </si>
  <si>
    <t>Proyected Average</t>
  </si>
  <si>
    <t>Return Ratios</t>
  </si>
  <si>
    <t>ROIC</t>
  </si>
  <si>
    <t>ROCE</t>
  </si>
  <si>
    <t>ROA</t>
  </si>
  <si>
    <t>Payout</t>
  </si>
  <si>
    <t>Leverage Ratios</t>
  </si>
  <si>
    <t>Net Debt</t>
  </si>
  <si>
    <t>Liquidity Ratios</t>
  </si>
  <si>
    <t>OWC/Sales</t>
  </si>
  <si>
    <t>Current Liquidity</t>
  </si>
  <si>
    <t>Treasury Ratio</t>
  </si>
  <si>
    <t>Asset Ratios</t>
  </si>
  <si>
    <t>CapEx/Sales</t>
  </si>
  <si>
    <t>Reinvestment Ratio</t>
  </si>
  <si>
    <t>DSO (days)</t>
  </si>
  <si>
    <t>DIO (days)</t>
  </si>
  <si>
    <t>DPO (days)</t>
  </si>
  <si>
    <t>Cycle Days (DSO+DIO-DPO)</t>
  </si>
  <si>
    <t>Asset longevity - Remaining life (Net PP&amp;E / D&amp;A, yrs)</t>
  </si>
  <si>
    <t>Avg useful life (Gross PP&amp;E / Depreciation, yrs)</t>
  </si>
  <si>
    <t>Avg asset age (Accum. Dep. / Depreciation, yrs)</t>
  </si>
  <si>
    <t>n/a</t>
  </si>
  <si>
    <t>Net Debt/EBITDA</t>
  </si>
  <si>
    <t>Net Debt/Equity</t>
  </si>
  <si>
    <t>Interest Coverage (EBIT / Net interest)</t>
  </si>
  <si>
    <t xml:space="preserve">  Closing balance (held constant; maturities refinanced)</t>
  </si>
  <si>
    <t xml:space="preserve">  Add: new issuance (refinancing)</t>
  </si>
  <si>
    <t>Method</t>
  </si>
  <si>
    <t>Low</t>
  </si>
  <si>
    <t>High</t>
  </si>
  <si>
    <t>Spread</t>
  </si>
  <si>
    <t>Base vs Price</t>
  </si>
  <si>
    <t>Range basis</t>
  </si>
  <si>
    <t>DCF – Exit Multiple</t>
  </si>
  <si>
    <t>WACC ±0.5% × Exit multiple ±1x</t>
  </si>
  <si>
    <t>DCF – Perpetual Growth</t>
  </si>
  <si>
    <t>WACC ±0.5% × g ±0.25%</t>
  </si>
  <si>
    <t>DDM – Total Payout</t>
  </si>
  <si>
    <t>Ke ±0.5% × g ±0.25%</t>
  </si>
  <si>
    <t>Trading Comps – P/E</t>
  </si>
  <si>
    <t>Peer P/E 25th–75th pct × FY25 diluted EPS</t>
  </si>
  <si>
    <t>Trading Comps – Dividend Yield</t>
  </si>
  <si>
    <t>FY25 DPS ÷ peer yield 75th–25th pct</t>
  </si>
  <si>
    <t>Valuation range (avg. of methods)</t>
  </si>
  <si>
    <t>Relative valuation inputs</t>
  </si>
  <si>
    <t>KO diluted EPS FY2025 ($)</t>
  </si>
  <si>
    <t>KO DPS FY2025 ($)</t>
  </si>
  <si>
    <t>Peer P/E – 25th percentile</t>
  </si>
  <si>
    <t>Peer P/E – Median</t>
  </si>
  <si>
    <t>Peer P/E – 75th percentile</t>
  </si>
  <si>
    <t>Peer dividend yield – 25th percentile</t>
  </si>
  <si>
    <t>Peer dividend yield – Median</t>
  </si>
  <si>
    <t>Peer dividend yield – 75th percentile</t>
  </si>
  <si>
    <t>Current share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</si>
</sst>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
    <numFmt numFmtId="165" formatCode="0.0%"/>
    <numFmt numFmtId="166" formatCode="#,##0;\(#,##0\)"/>
    <numFmt numFmtId="167" formatCode="#,##0;\(#,##0\);\-"/>
    <numFmt numFmtId="168" formatCode="_([$$-409]* #,##0.00_);_([$$-409]* \(#,##0.00\);_([$$-409]* \-??_);_(@_)"/>
    <numFmt numFmtId="169" formatCode="0.0\x"/>
    <numFmt numFmtId="170" formatCode="0.00\x"/>
    <numFmt numFmtId="171" formatCode="_([$€-2]\ * #,##0.00_);_([$€-2]\ * \(#,##0.00\);_([$€-2]\ * \-??_);_(@_)"/>
    <numFmt numFmtId="172" formatCode="0.000"/>
    <numFmt numFmtId="173" formatCode="_([$$-409]* #,##0_);_([$$-409]* \(#,##0\);_([$$-409]* \-_);_(@_)"/>
    <numFmt numFmtId="174" formatCode="_-[$$-3C09]* #,##0.00_-;\-[$$-3C09]* #,##0.00_-;_-[$$-3C09]* \-??_-;_-@_-"/>
    <numFmt numFmtId="175" formatCode="0.0&quot;x&quot;"/>
    <numFmt numFmtId="176" formatCode="&quot;$&quot;#,##0.00"/>
    <numFmt numFmtId="177" formatCode="0.0%;\(0.0%\);&quot;-&quot;"/>
    <numFmt numFmtId="178" formatCode="0.000\x"/>
    <numFmt numFmtId="179" formatCode="&quot;$&quot;#,##0;\(&quot;$&quot;#,##0\);&quot;-&quot;"/>
    <numFmt numFmtId="180" formatCode="0.0\x;\(0.0\x\);&quot;-&quot;"/>
    <numFmt numFmtId="181" formatCode="0.00\x;\(0.00\x\);&quot;-&quot;"/>
    <numFmt numFmtId="182" formatCode="0.0;\(0.0\);&quot;-&quot;"/>
    <numFmt numFmtId="183" formatCode="&quot;$&quot;#,##0.00;\(&quot;$&quot;#,##0.00\);&quot;-&quot;"/>
  </numFmts>
  <fonts count="57" x14ac:knownFonts="1">
    <font>
      <sz val="11"/>
      <color theme="1"/>
      <name val="Calibri"/>
      <family val="2"/>
      <charset val="1"/>
    </font>
    <font>
      <b/>
      <sz val="11"/>
      <color rgb="FFFFFFFF"/>
      <name val="Calibri"/>
      <family val="2"/>
      <charset val="1"/>
    </font>
    <font>
      <b/>
      <sz val="16"/>
      <color rgb="FFFFFFFF"/>
      <name val="Arial"/>
      <family val="2"/>
      <charset val="1"/>
    </font>
    <font>
      <sz val="9"/>
      <name val="Calibri"/>
      <family val="2"/>
      <charset val="1"/>
    </font>
    <font>
      <b/>
      <sz val="10"/>
      <color rgb="FFFFFFFF"/>
      <name val="Arial"/>
      <family val="2"/>
      <charset val="1"/>
    </font>
    <font>
      <sz val="10"/>
      <name val="Calibri"/>
      <family val="2"/>
      <charset val="1"/>
    </font>
    <font>
      <b/>
      <sz val="10"/>
      <color rgb="FF000000"/>
      <name val="Arial"/>
      <family val="2"/>
      <charset val="1"/>
    </font>
    <font>
      <i/>
      <sz val="10"/>
      <color rgb="FF000000"/>
      <name val="Arial"/>
      <family val="2"/>
      <charset val="1"/>
    </font>
    <font>
      <sz val="10"/>
      <color rgb="FF000000"/>
      <name val="Arial"/>
      <family val="2"/>
      <charset val="1"/>
    </font>
    <font>
      <i/>
      <sz val="10"/>
      <color rgb="FF333333"/>
      <name val="Arial"/>
      <family val="2"/>
      <charset val="1"/>
    </font>
    <font>
      <sz val="10"/>
      <color rgb="FF333333"/>
      <name val="Arial"/>
      <family val="2"/>
      <charset val="1"/>
    </font>
    <font>
      <b/>
      <sz val="9"/>
      <name val="Calibri"/>
      <family val="2"/>
      <charset val="1"/>
    </font>
    <font>
      <sz val="11"/>
      <color theme="0"/>
      <name val="Calibri"/>
      <family val="2"/>
      <charset val="1"/>
    </font>
    <font>
      <b/>
      <sz val="14"/>
      <color theme="0"/>
      <name val="Calibri"/>
      <family val="2"/>
      <charset val="1"/>
    </font>
    <font>
      <b/>
      <sz val="11"/>
      <color theme="0"/>
      <name val="Calibri"/>
      <family val="2"/>
      <charset val="1"/>
    </font>
    <font>
      <sz val="11"/>
      <color theme="8"/>
      <name val="Calibri"/>
      <family val="2"/>
      <charset val="1"/>
    </font>
    <font>
      <sz val="11"/>
      <color theme="9" tint="-0.499984740745262"/>
      <name val="Calibri"/>
      <family val="2"/>
      <charset val="1"/>
    </font>
    <font>
      <sz val="11"/>
      <color rgb="FFFF0000"/>
      <name val="Calibri"/>
      <family val="2"/>
      <charset val="1"/>
    </font>
    <font>
      <sz val="9"/>
      <color theme="0"/>
      <name val="Calibri"/>
      <family val="2"/>
      <charset val="1"/>
    </font>
    <font>
      <b/>
      <sz val="11"/>
      <color theme="1"/>
      <name val="Calibri"/>
      <family val="2"/>
      <charset val="1"/>
    </font>
    <font>
      <b/>
      <sz val="11"/>
      <color theme="8"/>
      <name val="Calibri"/>
      <family val="2"/>
      <charset val="1"/>
    </font>
    <font>
      <sz val="11"/>
      <color theme="9"/>
      <name val="Calibri"/>
      <family val="2"/>
      <charset val="1"/>
    </font>
    <font>
      <b/>
      <sz val="11"/>
      <color theme="9"/>
      <name val="Calibri"/>
      <family val="2"/>
      <charset val="1"/>
    </font>
    <font>
      <sz val="11"/>
      <color rgb="FF70AD47"/>
      <name val="Calibri"/>
      <family val="2"/>
      <charset val="1"/>
    </font>
    <font>
      <sz val="11"/>
      <color rgb="FF4472C4"/>
      <name val="Calibri"/>
      <family val="2"/>
      <charset val="1"/>
    </font>
    <font>
      <sz val="11"/>
      <name val="Calibri"/>
      <family val="2"/>
      <charset val="1"/>
    </font>
    <font>
      <b/>
      <sz val="11"/>
      <color rgb="FF008000"/>
      <name val="Calibri"/>
      <family val="2"/>
      <charset val="1"/>
    </font>
    <font>
      <b/>
      <sz val="11"/>
      <color rgb="FF70AD47"/>
      <name val="Calibri"/>
      <family val="2"/>
      <charset val="1"/>
    </font>
    <font>
      <b/>
      <sz val="11"/>
      <color rgb="FF000000"/>
      <name val="Calibri"/>
      <family val="2"/>
      <charset val="1"/>
    </font>
    <font>
      <b/>
      <sz val="11"/>
      <name val="Calibri"/>
      <family val="2"/>
      <charset val="1"/>
    </font>
    <font>
      <sz val="11"/>
      <color rgb="FF008000"/>
      <name val="Calibri"/>
      <family val="2"/>
      <charset val="1"/>
    </font>
    <font>
      <sz val="10"/>
      <name val="Arial"/>
      <family val="2"/>
    </font>
    <font>
      <i/>
      <sz val="9"/>
      <color rgb="FF808080"/>
      <name val="Calibri"/>
      <family val="2"/>
      <charset val="1"/>
    </font>
    <font>
      <i/>
      <sz val="11"/>
      <color theme="1"/>
      <name val="Calibri"/>
      <family val="2"/>
      <charset val="1"/>
    </font>
    <font>
      <sz val="11"/>
      <color rgb="FF808080"/>
      <name val="Calibri"/>
      <family val="2"/>
      <charset val="1"/>
    </font>
    <font>
      <i/>
      <sz val="10"/>
      <color theme="1" tint="0.49989318521683401"/>
      <name val="Calibri"/>
      <family val="2"/>
      <charset val="1"/>
    </font>
    <font>
      <i/>
      <sz val="10"/>
      <color theme="9"/>
      <name val="Calibri"/>
      <family val="2"/>
      <charset val="1"/>
    </font>
    <font>
      <sz val="11"/>
      <color rgb="FF000000"/>
      <name val="Calibri"/>
      <family val="2"/>
      <charset val="1"/>
    </font>
    <font>
      <i/>
      <sz val="11"/>
      <color theme="1" tint="0.49989318521683401"/>
      <name val="Calibri"/>
      <family val="2"/>
      <charset val="1"/>
    </font>
    <font>
      <sz val="11"/>
      <color rgb="FFC00000"/>
      <name val="Calibri"/>
      <family val="2"/>
      <charset val="1"/>
    </font>
    <font>
      <sz val="11"/>
      <color rgb="FF0000FF"/>
      <name val="Calibri"/>
      <family val="2"/>
      <charset val="1"/>
    </font>
    <font>
      <b/>
      <sz val="10"/>
      <name val="Arial"/>
      <family val="2"/>
      <charset val="1"/>
    </font>
    <font>
      <sz val="10"/>
      <name val="Arial"/>
      <family val="2"/>
      <charset val="1"/>
    </font>
    <font>
      <sz val="11"/>
      <color theme="1"/>
      <name val="Calibri"/>
      <family val="2"/>
      <charset val="1"/>
    </font>
    <font>
      <b/>
      <sz val="11"/>
      <color theme="1"/>
      <name val="Calibri"/>
      <family val="2"/>
      <scheme val="minor"/>
    </font>
    <font>
      <sz val="11"/>
      <color rgb="FF000000"/>
      <name val="Calibri"/>
      <family val="2"/>
      <scheme val="minor"/>
    </font>
    <font>
      <sz val="11"/>
      <color theme="8"/>
      <name val="Calibri"/>
      <family val="2"/>
    </font>
    <font>
      <sz val="11"/>
      <color theme="8"/>
      <name val="Calibri"/>
      <family val="2"/>
      <scheme val="minor"/>
    </font>
    <font>
      <sz val="11"/>
      <color theme="1" tint="0.499984740745262"/>
      <name val="Calibri"/>
      <family val="2"/>
      <charset val="1"/>
    </font>
    <font>
      <b/>
      <sz val="11"/>
      <color theme="1"/>
      <name val="Calibri"/>
      <family val="2"/>
    </font>
    <font>
      <sz val="11"/>
      <color theme="1"/>
      <name val="Calibri"/>
      <family val="2"/>
    </font>
    <font>
      <sz val="11"/>
      <name val="Calibri"/>
      <family val="2"/>
    </font>
    <font>
      <b/>
      <sz val="11"/>
      <name val="Calibri"/>
      <family val="2"/>
    </font>
    <font>
      <b/>
      <sz val="11"/>
      <color rgb="FF0000FF"/>
      <name val="Calibri"/>
      <family val="2"/>
      <charset val="1"/>
    </font>
    <font>
      <b/>
      <sz val="14"/>
      <color theme="1"/>
      <name val="Calibri"/>
      <family val="2"/>
      <charset val="1"/>
    </font>
    <font>
      <i/>
      <sz val="11"/>
      <color rgb="FF808080"/>
      <name val="Calibri"/>
      <family val="2"/>
      <charset val="1"/>
    </font>
    <font>
      <sz val="10"/>
      <color rgb="FF595959"/>
      <name val="Calibri"/>
      <family val="2"/>
    </font>
  </fonts>
  <fills count="15">
    <fill>
      <patternFill patternType="none"/>
    </fill>
    <fill>
      <patternFill patternType="gray125"/>
    </fill>
    <fill>
      <patternFill patternType="solid">
        <fgColor rgb="FF4F81BD"/>
        <bgColor rgb="FF4472C4"/>
      </patternFill>
    </fill>
    <fill>
      <patternFill patternType="solid">
        <fgColor rgb="FFFFFFFF"/>
        <bgColor rgb="FFF2F2F2"/>
      </patternFill>
    </fill>
    <fill>
      <patternFill patternType="solid">
        <fgColor rgb="FFD8D8D8"/>
        <bgColor rgb="FFD9D9D9"/>
      </patternFill>
    </fill>
    <fill>
      <patternFill patternType="solid">
        <fgColor rgb="FFF2F2F2"/>
        <bgColor rgb="FFE7E6E6"/>
      </patternFill>
    </fill>
    <fill>
      <patternFill patternType="solid">
        <fgColor rgb="FFB8C2AD"/>
        <bgColor rgb="FFD0CECE"/>
      </patternFill>
    </fill>
    <fill>
      <patternFill patternType="solid">
        <fgColor rgb="FFC80315"/>
        <bgColor rgb="FFC00000"/>
      </patternFill>
    </fill>
    <fill>
      <patternFill patternType="solid">
        <fgColor rgb="FFC00000"/>
        <bgColor rgb="FFC80315"/>
      </patternFill>
    </fill>
    <fill>
      <patternFill patternType="solid">
        <fgColor theme="2" tint="-9.9978637043366805E-2"/>
        <bgColor rgb="FFD8D8D8"/>
      </patternFill>
    </fill>
    <fill>
      <patternFill patternType="solid">
        <fgColor theme="0" tint="-0.14999847407452621"/>
        <bgColor rgb="FFD8D8D8"/>
      </patternFill>
    </fill>
    <fill>
      <patternFill patternType="solid">
        <fgColor theme="5" tint="0.79989013336588644"/>
        <bgColor rgb="FFE7E6E6"/>
      </patternFill>
    </fill>
    <fill>
      <patternFill patternType="solid">
        <fgColor theme="2"/>
        <bgColor rgb="FFF2F2F2"/>
      </patternFill>
    </fill>
    <fill>
      <patternFill patternType="solid">
        <fgColor rgb="FF800000"/>
        <bgColor indexed="64"/>
      </patternFill>
    </fill>
    <fill>
      <patternFill patternType="solid">
        <fgColor rgb="FFC00000"/>
        <bgColor indexed="64"/>
      </patternFill>
    </fill>
  </fills>
  <borders count="23">
    <border>
      <left/>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style="thin">
        <color rgb="FFC00000"/>
      </right>
      <top/>
      <bottom style="thin">
        <color rgb="FFC00000"/>
      </bottom>
      <diagonal/>
    </border>
    <border>
      <left/>
      <right/>
      <top style="thin">
        <color rgb="FFC00000"/>
      </top>
      <bottom/>
      <diagonal/>
    </border>
  </borders>
  <cellStyleXfs count="31">
    <xf numFmtId="0" fontId="0" fillId="0" borderId="0"/>
    <xf numFmtId="9" fontId="43" fillId="0" borderId="0"/>
    <xf numFmtId="0" fontId="1" fillId="2" borderId="0"/>
    <xf numFmtId="0" fontId="2" fillId="2" borderId="1">
      <alignment horizontal="left" vertical="center" readingOrder="1"/>
    </xf>
    <xf numFmtId="0" fontId="3" fillId="0" borderId="0"/>
    <xf numFmtId="0" fontId="4" fillId="2" borderId="2">
      <alignment horizontal="right"/>
    </xf>
    <xf numFmtId="0" fontId="4" fillId="2" borderId="2">
      <alignment horizontal="left"/>
    </xf>
    <xf numFmtId="0" fontId="5" fillId="3" borderId="0">
      <alignment horizontal="center"/>
    </xf>
    <xf numFmtId="0" fontId="4" fillId="2" borderId="3">
      <alignment horizontal="right"/>
    </xf>
    <xf numFmtId="0" fontId="4" fillId="2" borderId="3">
      <alignment horizontal="left"/>
    </xf>
    <xf numFmtId="3" fontId="6" fillId="3" borderId="4">
      <alignment horizontal="right"/>
    </xf>
    <xf numFmtId="164" fontId="6" fillId="3" borderId="4">
      <alignment horizontal="right"/>
    </xf>
    <xf numFmtId="4" fontId="6" fillId="3" borderId="4">
      <alignment horizontal="right"/>
    </xf>
    <xf numFmtId="3" fontId="6" fillId="4" borderId="4">
      <alignment horizontal="right"/>
    </xf>
    <xf numFmtId="164" fontId="6" fillId="4" borderId="4">
      <alignment horizontal="right"/>
    </xf>
    <xf numFmtId="4" fontId="6" fillId="4" borderId="4">
      <alignment horizontal="right"/>
    </xf>
    <xf numFmtId="164" fontId="7" fillId="4" borderId="4">
      <alignment horizontal="right"/>
    </xf>
    <xf numFmtId="4" fontId="7" fillId="4" borderId="4">
      <alignment horizontal="right"/>
    </xf>
    <xf numFmtId="164" fontId="8" fillId="4" borderId="4">
      <alignment horizontal="right"/>
    </xf>
    <xf numFmtId="164" fontId="7" fillId="3" borderId="4">
      <alignment horizontal="right"/>
    </xf>
    <xf numFmtId="4" fontId="7" fillId="3" borderId="4">
      <alignment horizontal="right"/>
    </xf>
    <xf numFmtId="4" fontId="8" fillId="3" borderId="4"/>
    <xf numFmtId="3" fontId="8" fillId="3" borderId="4">
      <alignment horizontal="right"/>
    </xf>
    <xf numFmtId="164" fontId="8" fillId="3" borderId="4">
      <alignment horizontal="right"/>
    </xf>
    <xf numFmtId="4" fontId="8" fillId="3" borderId="4">
      <alignment horizontal="right"/>
    </xf>
    <xf numFmtId="0" fontId="7" fillId="5" borderId="5"/>
    <xf numFmtId="0" fontId="9" fillId="0" borderId="0"/>
    <xf numFmtId="0" fontId="6" fillId="3" borderId="6"/>
    <xf numFmtId="0" fontId="9" fillId="3" borderId="6"/>
    <xf numFmtId="0" fontId="10" fillId="3" borderId="6"/>
    <xf numFmtId="0" fontId="11" fillId="6" borderId="0">
      <alignment horizontal="center"/>
    </xf>
  </cellStyleXfs>
  <cellXfs count="334">
    <xf numFmtId="0" fontId="0" fillId="0" borderId="0" xfId="0"/>
    <xf numFmtId="0" fontId="0" fillId="0" borderId="0" xfId="0" applyAlignment="1">
      <alignment horizontal="center"/>
    </xf>
    <xf numFmtId="0" fontId="19" fillId="0" borderId="3" xfId="0" applyFont="1" applyBorder="1" applyAlignment="1">
      <alignment horizontal="center"/>
    </xf>
    <xf numFmtId="0" fontId="0" fillId="7" borderId="0" xfId="0" applyFill="1"/>
    <xf numFmtId="17" fontId="12" fillId="7" borderId="0" xfId="0" applyNumberFormat="1" applyFont="1" applyFill="1"/>
    <xf numFmtId="0" fontId="13" fillId="7" borderId="0" xfId="0" applyFont="1" applyFill="1" applyAlignment="1">
      <alignment horizontal="left" vertical="center"/>
    </xf>
    <xf numFmtId="0" fontId="14" fillId="7" borderId="0" xfId="0" applyFont="1" applyFill="1"/>
    <xf numFmtId="0" fontId="12" fillId="7" borderId="0" xfId="0" applyFont="1" applyFill="1" applyAlignment="1">
      <alignment horizontal="left" indent="2"/>
    </xf>
    <xf numFmtId="0" fontId="15" fillId="7" borderId="0" xfId="0" applyFont="1" applyFill="1" applyAlignment="1">
      <alignment horizontal="left" indent="2"/>
    </xf>
    <xf numFmtId="0" fontId="0" fillId="7" borderId="0" xfId="0" applyFill="1" applyAlignment="1">
      <alignment horizontal="left" indent="2"/>
    </xf>
    <xf numFmtId="0" fontId="16" fillId="7" borderId="0" xfId="0" applyFont="1" applyFill="1" applyAlignment="1">
      <alignment horizontal="left" indent="2"/>
    </xf>
    <xf numFmtId="0" fontId="17" fillId="7" borderId="0" xfId="0" applyFont="1" applyFill="1" applyAlignment="1">
      <alignment horizontal="left" indent="2"/>
    </xf>
    <xf numFmtId="0" fontId="19" fillId="7" borderId="7" xfId="0" applyFont="1" applyFill="1" applyBorder="1"/>
    <xf numFmtId="0" fontId="19" fillId="7" borderId="1" xfId="0" applyFont="1" applyFill="1" applyBorder="1"/>
    <xf numFmtId="0" fontId="19" fillId="7" borderId="8" xfId="0" applyFont="1" applyFill="1" applyBorder="1"/>
    <xf numFmtId="0" fontId="20" fillId="7" borderId="1" xfId="0" applyFont="1" applyFill="1" applyBorder="1"/>
    <xf numFmtId="0" fontId="20" fillId="7" borderId="0" xfId="0" applyFont="1" applyFill="1"/>
    <xf numFmtId="0" fontId="19" fillId="0" borderId="9" xfId="0" applyFont="1" applyBorder="1" applyAlignment="1">
      <alignment horizontal="center"/>
    </xf>
    <xf numFmtId="0" fontId="0" fillId="0" borderId="10" xfId="0" applyBorder="1"/>
    <xf numFmtId="10" fontId="21" fillId="0" borderId="10" xfId="1" applyNumberFormat="1" applyFont="1" applyBorder="1"/>
    <xf numFmtId="0" fontId="0" fillId="0" borderId="6" xfId="0" applyBorder="1"/>
    <xf numFmtId="0" fontId="0" fillId="0" borderId="11" xfId="0" applyBorder="1"/>
    <xf numFmtId="0" fontId="0" fillId="0" borderId="0" xfId="0" applyAlignment="1">
      <alignment horizontal="left" indent="1"/>
    </xf>
    <xf numFmtId="10" fontId="21" fillId="0" borderId="0" xfId="1" applyNumberFormat="1" applyFont="1"/>
    <xf numFmtId="0" fontId="0" fillId="0" borderId="12" xfId="0" applyBorder="1"/>
    <xf numFmtId="0" fontId="0" fillId="0" borderId="13" xfId="0" applyBorder="1"/>
    <xf numFmtId="165" fontId="15" fillId="0" borderId="9" xfId="1" applyNumberFormat="1" applyFont="1" applyBorder="1" applyAlignment="1">
      <alignment horizontal="center"/>
    </xf>
    <xf numFmtId="165" fontId="43" fillId="0" borderId="0" xfId="1" applyNumberFormat="1" applyAlignment="1">
      <alignment horizontal="center"/>
    </xf>
    <xf numFmtId="10" fontId="0" fillId="0" borderId="0" xfId="0" applyNumberFormat="1"/>
    <xf numFmtId="0" fontId="19" fillId="0" borderId="14" xfId="0" applyFont="1" applyBorder="1" applyAlignment="1">
      <alignment horizontal="left" indent="1"/>
    </xf>
    <xf numFmtId="0" fontId="0" fillId="0" borderId="5" xfId="0" applyBorder="1"/>
    <xf numFmtId="10" fontId="19" fillId="0" borderId="5" xfId="1" applyNumberFormat="1" applyFont="1" applyBorder="1"/>
    <xf numFmtId="10" fontId="19" fillId="0" borderId="15" xfId="1" applyNumberFormat="1" applyFont="1" applyBorder="1"/>
    <xf numFmtId="0" fontId="19" fillId="0" borderId="6" xfId="0" applyFont="1" applyBorder="1" applyAlignment="1">
      <alignment horizontal="left" indent="1"/>
    </xf>
    <xf numFmtId="10" fontId="19" fillId="0" borderId="0" xfId="1" applyNumberFormat="1" applyFont="1"/>
    <xf numFmtId="10" fontId="19" fillId="0" borderId="11" xfId="1" applyNumberFormat="1" applyFont="1" applyBorder="1"/>
    <xf numFmtId="0" fontId="19" fillId="0" borderId="12" xfId="0" applyFont="1" applyBorder="1" applyAlignment="1">
      <alignment horizontal="left" indent="1"/>
    </xf>
    <xf numFmtId="10" fontId="19" fillId="0" borderId="10" xfId="1" applyNumberFormat="1" applyFont="1" applyBorder="1"/>
    <xf numFmtId="10" fontId="19" fillId="0" borderId="13" xfId="1" applyNumberFormat="1" applyFont="1" applyBorder="1"/>
    <xf numFmtId="0" fontId="19" fillId="0" borderId="10" xfId="0" applyFont="1" applyBorder="1"/>
    <xf numFmtId="10" fontId="22" fillId="0" borderId="0" xfId="1" applyNumberFormat="1" applyFont="1"/>
    <xf numFmtId="10" fontId="22" fillId="0" borderId="10" xfId="1" applyNumberFormat="1" applyFont="1" applyBorder="1"/>
    <xf numFmtId="165" fontId="15" fillId="0" borderId="3" xfId="1" applyNumberFormat="1" applyFont="1" applyBorder="1" applyAlignment="1">
      <alignment horizontal="center"/>
    </xf>
    <xf numFmtId="165" fontId="15" fillId="0" borderId="4" xfId="1" applyNumberFormat="1" applyFont="1" applyBorder="1" applyAlignment="1">
      <alignment horizontal="center"/>
    </xf>
    <xf numFmtId="165" fontId="15" fillId="0" borderId="2" xfId="1" applyNumberFormat="1" applyFont="1" applyBorder="1" applyAlignment="1">
      <alignment horizontal="center"/>
    </xf>
    <xf numFmtId="0" fontId="19" fillId="0" borderId="7" xfId="0" applyFont="1" applyBorder="1" applyAlignment="1">
      <alignment horizontal="left" indent="1"/>
    </xf>
    <xf numFmtId="0" fontId="19" fillId="0" borderId="1" xfId="0" applyFont="1" applyBorder="1"/>
    <xf numFmtId="10" fontId="19" fillId="0" borderId="1" xfId="1" applyNumberFormat="1" applyFont="1" applyBorder="1"/>
    <xf numFmtId="10" fontId="23" fillId="0" borderId="10" xfId="0" applyNumberFormat="1" applyFont="1" applyBorder="1"/>
    <xf numFmtId="165" fontId="24" fillId="0" borderId="3" xfId="0" applyNumberFormat="1" applyFont="1" applyBorder="1" applyAlignment="1">
      <alignment horizontal="center"/>
    </xf>
    <xf numFmtId="165" fontId="24" fillId="0" borderId="4" xfId="0" applyNumberFormat="1" applyFont="1" applyBorder="1" applyAlignment="1">
      <alignment horizontal="center"/>
    </xf>
    <xf numFmtId="10" fontId="25" fillId="0" borderId="0" xfId="0" applyNumberFormat="1" applyFont="1"/>
    <xf numFmtId="165" fontId="24" fillId="0" borderId="2" xfId="0" applyNumberFormat="1" applyFont="1" applyBorder="1" applyAlignment="1">
      <alignment horizontal="center"/>
    </xf>
    <xf numFmtId="0" fontId="19" fillId="0" borderId="7" xfId="0" applyFont="1" applyBorder="1"/>
    <xf numFmtId="0" fontId="0" fillId="0" borderId="1" xfId="0" applyBorder="1"/>
    <xf numFmtId="10" fontId="19" fillId="0" borderId="1" xfId="0" applyNumberFormat="1" applyFont="1" applyBorder="1"/>
    <xf numFmtId="10" fontId="19" fillId="0" borderId="8" xfId="0" applyNumberFormat="1" applyFont="1" applyBorder="1"/>
    <xf numFmtId="0" fontId="19" fillId="0" borderId="0" xfId="0" applyFont="1"/>
    <xf numFmtId="0" fontId="19" fillId="0" borderId="10" xfId="0" applyFont="1" applyBorder="1" applyAlignment="1">
      <alignment horizontal="left"/>
    </xf>
    <xf numFmtId="164" fontId="22" fillId="0" borderId="10" xfId="0" applyNumberFormat="1" applyFont="1" applyBorder="1"/>
    <xf numFmtId="166" fontId="24" fillId="0" borderId="3" xfId="0" applyNumberFormat="1" applyFont="1" applyBorder="1" applyAlignment="1">
      <alignment horizontal="center"/>
    </xf>
    <xf numFmtId="166" fontId="0" fillId="0" borderId="0" xfId="0" applyNumberFormat="1"/>
    <xf numFmtId="0" fontId="15" fillId="0" borderId="4" xfId="0" applyFont="1" applyBorder="1" applyAlignment="1">
      <alignment horizontal="center"/>
    </xf>
    <xf numFmtId="166" fontId="24" fillId="0" borderId="2" xfId="0" applyNumberFormat="1" applyFont="1" applyBorder="1" applyAlignment="1">
      <alignment horizontal="center"/>
    </xf>
    <xf numFmtId="166" fontId="19" fillId="0" borderId="1" xfId="0" applyNumberFormat="1" applyFont="1" applyBorder="1"/>
    <xf numFmtId="166" fontId="19" fillId="0" borderId="8" xfId="0" applyNumberFormat="1" applyFont="1" applyBorder="1"/>
    <xf numFmtId="0" fontId="19" fillId="0" borderId="5" xfId="0" applyFont="1" applyBorder="1" applyAlignment="1">
      <alignment horizontal="left" indent="1"/>
    </xf>
    <xf numFmtId="166" fontId="26" fillId="0" borderId="0" xfId="0" applyNumberFormat="1" applyFont="1"/>
    <xf numFmtId="167" fontId="24" fillId="0" borderId="0" xfId="0" applyNumberFormat="1" applyFont="1"/>
    <xf numFmtId="166" fontId="19" fillId="0" borderId="10" xfId="0" applyNumberFormat="1" applyFont="1" applyBorder="1"/>
    <xf numFmtId="9" fontId="15" fillId="0" borderId="3" xfId="1" applyFont="1" applyBorder="1" applyAlignment="1">
      <alignment horizontal="center"/>
    </xf>
    <xf numFmtId="9" fontId="15" fillId="0" borderId="4" xfId="1" applyFont="1" applyBorder="1" applyAlignment="1">
      <alignment horizontal="center"/>
    </xf>
    <xf numFmtId="10" fontId="19" fillId="0" borderId="8" xfId="1" applyNumberFormat="1" applyFont="1" applyBorder="1"/>
    <xf numFmtId="164" fontId="27" fillId="0" borderId="10" xfId="0" applyNumberFormat="1" applyFont="1" applyBorder="1"/>
    <xf numFmtId="9" fontId="24" fillId="0" borderId="3" xfId="0" applyNumberFormat="1" applyFont="1" applyBorder="1" applyAlignment="1">
      <alignment horizontal="center"/>
    </xf>
    <xf numFmtId="164" fontId="0" fillId="0" borderId="0" xfId="0" applyNumberFormat="1"/>
    <xf numFmtId="9" fontId="24" fillId="0" borderId="4" xfId="0" applyNumberFormat="1" applyFont="1" applyBorder="1" applyAlignment="1">
      <alignment horizontal="center"/>
    </xf>
    <xf numFmtId="9" fontId="24" fillId="0" borderId="2" xfId="0" applyNumberFormat="1" applyFont="1" applyBorder="1" applyAlignment="1">
      <alignment horizontal="center"/>
    </xf>
    <xf numFmtId="164" fontId="19" fillId="0" borderId="1" xfId="0" applyNumberFormat="1" applyFont="1" applyBorder="1"/>
    <xf numFmtId="164" fontId="19" fillId="0" borderId="8" xfId="0" applyNumberFormat="1" applyFont="1" applyBorder="1"/>
    <xf numFmtId="10" fontId="27" fillId="0" borderId="10" xfId="0" applyNumberFormat="1" applyFont="1" applyBorder="1"/>
    <xf numFmtId="10" fontId="43" fillId="0" borderId="0" xfId="1" applyNumberFormat="1"/>
    <xf numFmtId="10" fontId="19" fillId="0" borderId="10" xfId="0" applyNumberFormat="1" applyFont="1" applyBorder="1"/>
    <xf numFmtId="10" fontId="28" fillId="0" borderId="10" xfId="0" applyNumberFormat="1" applyFont="1" applyBorder="1"/>
    <xf numFmtId="10" fontId="29" fillId="0" borderId="10" xfId="0" applyNumberFormat="1" applyFont="1" applyBorder="1"/>
    <xf numFmtId="0" fontId="28" fillId="0" borderId="10" xfId="0" applyFont="1" applyBorder="1"/>
    <xf numFmtId="168" fontId="0" fillId="0" borderId="0" xfId="0" applyNumberFormat="1"/>
    <xf numFmtId="3" fontId="0" fillId="0" borderId="0" xfId="0" applyNumberFormat="1"/>
    <xf numFmtId="9" fontId="15" fillId="0" borderId="0" xfId="1" applyFont="1"/>
    <xf numFmtId="4" fontId="0" fillId="0" borderId="0" xfId="0" applyNumberFormat="1"/>
    <xf numFmtId="0" fontId="28" fillId="0" borderId="10" xfId="0" applyFont="1" applyBorder="1" applyAlignment="1">
      <alignment horizontal="left" indent="1"/>
    </xf>
    <xf numFmtId="169" fontId="24" fillId="0" borderId="3" xfId="0" applyNumberFormat="1" applyFont="1" applyBorder="1" applyAlignment="1">
      <alignment horizontal="center"/>
    </xf>
    <xf numFmtId="170" fontId="0" fillId="0" borderId="0" xfId="0" applyNumberFormat="1"/>
    <xf numFmtId="0" fontId="19" fillId="0" borderId="0" xfId="0" applyFont="1" applyAlignment="1">
      <alignment horizontal="left" indent="1"/>
    </xf>
    <xf numFmtId="169" fontId="24" fillId="0" borderId="4" xfId="0" applyNumberFormat="1" applyFont="1" applyBorder="1" applyAlignment="1">
      <alignment horizontal="center"/>
    </xf>
    <xf numFmtId="169" fontId="24" fillId="0" borderId="2" xfId="0" applyNumberFormat="1" applyFont="1" applyBorder="1" applyAlignment="1">
      <alignment horizontal="center"/>
    </xf>
    <xf numFmtId="170" fontId="19" fillId="0" borderId="1" xfId="0" applyNumberFormat="1" applyFont="1" applyBorder="1"/>
    <xf numFmtId="170" fontId="19" fillId="0" borderId="8" xfId="0" applyNumberFormat="1" applyFont="1" applyBorder="1"/>
    <xf numFmtId="0" fontId="28" fillId="0" borderId="0" xfId="0" applyFont="1" applyAlignment="1">
      <alignment horizontal="left"/>
    </xf>
    <xf numFmtId="3" fontId="15" fillId="9" borderId="0" xfId="0" applyNumberFormat="1" applyFont="1" applyFill="1"/>
    <xf numFmtId="0" fontId="28" fillId="0" borderId="0" xfId="0" applyFont="1"/>
    <xf numFmtId="10" fontId="30" fillId="0" borderId="0" xfId="0" applyNumberFormat="1" applyFont="1"/>
    <xf numFmtId="165" fontId="24" fillId="0" borderId="3" xfId="1" applyNumberFormat="1" applyFont="1" applyBorder="1" applyAlignment="1">
      <alignment horizontal="center"/>
    </xf>
    <xf numFmtId="165" fontId="24" fillId="0" borderId="4" xfId="1" applyNumberFormat="1" applyFont="1" applyBorder="1" applyAlignment="1">
      <alignment horizontal="center"/>
    </xf>
    <xf numFmtId="165" fontId="24" fillId="0" borderId="2" xfId="1" applyNumberFormat="1" applyFont="1" applyBorder="1" applyAlignment="1">
      <alignment horizontal="center"/>
    </xf>
    <xf numFmtId="165" fontId="19" fillId="0" borderId="8" xfId="1" applyNumberFormat="1" applyFont="1" applyBorder="1"/>
    <xf numFmtId="0" fontId="32" fillId="0" borderId="0" xfId="0" applyFont="1"/>
    <xf numFmtId="0" fontId="19" fillId="0" borderId="0" xfId="0" applyFont="1" applyAlignment="1">
      <alignment horizontal="center"/>
    </xf>
    <xf numFmtId="0" fontId="0" fillId="0" borderId="0" xfId="0" applyAlignment="1">
      <alignment horizontal="left" indent="2"/>
    </xf>
    <xf numFmtId="166" fontId="15" fillId="0" borderId="0" xfId="0" applyNumberFormat="1" applyFont="1"/>
    <xf numFmtId="165" fontId="15" fillId="0" borderId="0" xfId="0" applyNumberFormat="1" applyFont="1"/>
    <xf numFmtId="166" fontId="19" fillId="0" borderId="0" xfId="0" applyNumberFormat="1" applyFont="1"/>
    <xf numFmtId="0" fontId="15" fillId="0" borderId="0" xfId="0" applyFont="1"/>
    <xf numFmtId="165" fontId="22" fillId="0" borderId="0" xfId="0" applyNumberFormat="1" applyFont="1"/>
    <xf numFmtId="0" fontId="19" fillId="0" borderId="0" xfId="0" applyFont="1" applyAlignment="1">
      <alignment horizontal="right"/>
    </xf>
    <xf numFmtId="0" fontId="33" fillId="0" borderId="0" xfId="0" applyFont="1" applyAlignment="1">
      <alignment horizontal="left" indent="1"/>
    </xf>
    <xf numFmtId="170" fontId="30" fillId="0" borderId="0" xfId="0" applyNumberFormat="1" applyFont="1"/>
    <xf numFmtId="0" fontId="19" fillId="0" borderId="10" xfId="0" applyFont="1" applyBorder="1" applyAlignment="1">
      <alignment horizontal="left" indent="1"/>
    </xf>
    <xf numFmtId="166" fontId="0" fillId="0" borderId="10" xfId="0" applyNumberFormat="1" applyBorder="1"/>
    <xf numFmtId="166" fontId="25" fillId="0" borderId="0" xfId="0" applyNumberFormat="1" applyFont="1"/>
    <xf numFmtId="166" fontId="34" fillId="0" borderId="0" xfId="0" applyNumberFormat="1" applyFont="1"/>
    <xf numFmtId="166" fontId="19" fillId="0" borderId="5" xfId="0" applyNumberFormat="1" applyFont="1" applyBorder="1"/>
    <xf numFmtId="166" fontId="19" fillId="0" borderId="15" xfId="0" applyNumberFormat="1" applyFont="1" applyBorder="1"/>
    <xf numFmtId="166" fontId="19" fillId="0" borderId="13" xfId="0" applyNumberFormat="1" applyFont="1" applyBorder="1"/>
    <xf numFmtId="168" fontId="22" fillId="0" borderId="10" xfId="0" applyNumberFormat="1" applyFont="1" applyBorder="1"/>
    <xf numFmtId="168" fontId="19" fillId="0" borderId="10" xfId="0" applyNumberFormat="1" applyFont="1" applyBorder="1"/>
    <xf numFmtId="0" fontId="35" fillId="0" borderId="0" xfId="0" applyFont="1" applyAlignment="1">
      <alignment horizontal="left" indent="2"/>
    </xf>
    <xf numFmtId="10" fontId="36" fillId="0" borderId="0" xfId="1" applyNumberFormat="1" applyFont="1"/>
    <xf numFmtId="0" fontId="37" fillId="0" borderId="0" xfId="0" applyFont="1"/>
    <xf numFmtId="168" fontId="30" fillId="0" borderId="0" xfId="0" applyNumberFormat="1" applyFont="1"/>
    <xf numFmtId="168" fontId="37" fillId="0" borderId="0" xfId="0" applyNumberFormat="1" applyFont="1"/>
    <xf numFmtId="10" fontId="38" fillId="0" borderId="0" xfId="1" applyNumberFormat="1" applyFont="1"/>
    <xf numFmtId="168" fontId="21" fillId="0" borderId="0" xfId="0" applyNumberFormat="1" applyFont="1"/>
    <xf numFmtId="168" fontId="15" fillId="0" borderId="0" xfId="0" applyNumberFormat="1" applyFont="1"/>
    <xf numFmtId="168" fontId="21" fillId="0" borderId="5" xfId="0" applyNumberFormat="1" applyFont="1" applyBorder="1" applyAlignment="1">
      <alignment horizontal="right" vertical="center"/>
    </xf>
    <xf numFmtId="168" fontId="21" fillId="0" borderId="0" xfId="0" applyNumberFormat="1" applyFont="1" applyAlignment="1">
      <alignment horizontal="right" vertical="center"/>
    </xf>
    <xf numFmtId="168" fontId="22" fillId="0" borderId="0" xfId="0" applyNumberFormat="1" applyFont="1"/>
    <xf numFmtId="168" fontId="25" fillId="0" borderId="0" xfId="0" applyNumberFormat="1" applyFont="1"/>
    <xf numFmtId="168" fontId="0" fillId="0" borderId="10" xfId="0" applyNumberFormat="1" applyBorder="1"/>
    <xf numFmtId="0" fontId="0" fillId="8" borderId="9" xfId="0" applyFill="1" applyBorder="1" applyAlignment="1">
      <alignment horizontal="center"/>
    </xf>
    <xf numFmtId="168" fontId="26" fillId="0" borderId="0" xfId="0" applyNumberFormat="1" applyFont="1"/>
    <xf numFmtId="168" fontId="19" fillId="0" borderId="0" xfId="0" applyNumberFormat="1" applyFont="1"/>
    <xf numFmtId="168" fontId="26" fillId="0" borderId="1" xfId="0" applyNumberFormat="1" applyFont="1" applyBorder="1"/>
    <xf numFmtId="168" fontId="19" fillId="0" borderId="1" xfId="0" applyNumberFormat="1" applyFont="1" applyBorder="1"/>
    <xf numFmtId="168" fontId="19" fillId="0" borderId="8" xfId="0" applyNumberFormat="1" applyFont="1" applyBorder="1"/>
    <xf numFmtId="0" fontId="19" fillId="0" borderId="7" xfId="0" applyFont="1" applyBorder="1" applyAlignment="1">
      <alignment horizontal="left"/>
    </xf>
    <xf numFmtId="0" fontId="19" fillId="0" borderId="0" xfId="0" applyFont="1" applyAlignment="1">
      <alignment horizontal="left" indent="2"/>
    </xf>
    <xf numFmtId="0" fontId="35" fillId="0" borderId="0" xfId="0" applyFont="1" applyAlignment="1">
      <alignment horizontal="left" indent="3"/>
    </xf>
    <xf numFmtId="165" fontId="38" fillId="0" borderId="0" xfId="0" applyNumberFormat="1" applyFont="1"/>
    <xf numFmtId="168" fontId="28" fillId="0" borderId="1" xfId="0" applyNumberFormat="1" applyFont="1" applyBorder="1"/>
    <xf numFmtId="168" fontId="28" fillId="0" borderId="8" xfId="0" applyNumberFormat="1" applyFont="1" applyBorder="1"/>
    <xf numFmtId="0" fontId="39" fillId="0" borderId="0" xfId="0" applyFont="1"/>
    <xf numFmtId="168" fontId="39" fillId="0" borderId="0" xfId="0" applyNumberFormat="1" applyFont="1"/>
    <xf numFmtId="0" fontId="19" fillId="0" borderId="10" xfId="0" applyFont="1" applyBorder="1" applyAlignment="1">
      <alignment horizontal="center"/>
    </xf>
    <xf numFmtId="168" fontId="0" fillId="0" borderId="0" xfId="0" applyNumberFormat="1" applyAlignment="1">
      <alignment horizontal="center"/>
    </xf>
    <xf numFmtId="4" fontId="0" fillId="0" borderId="0" xfId="0" applyNumberFormat="1" applyAlignment="1">
      <alignment horizontal="center"/>
    </xf>
    <xf numFmtId="171" fontId="0" fillId="0" borderId="0" xfId="0" applyNumberFormat="1"/>
    <xf numFmtId="172" fontId="0" fillId="0" borderId="0" xfId="0" applyNumberFormat="1" applyAlignment="1">
      <alignment horizontal="center"/>
    </xf>
    <xf numFmtId="2" fontId="0" fillId="0" borderId="0" xfId="0" applyNumberFormat="1" applyAlignment="1">
      <alignment horizontal="center"/>
    </xf>
    <xf numFmtId="3" fontId="40" fillId="0" borderId="0" xfId="0" applyNumberFormat="1" applyFont="1"/>
    <xf numFmtId="173" fontId="0" fillId="0" borderId="0" xfId="0" applyNumberFormat="1" applyAlignment="1">
      <alignment horizontal="center"/>
    </xf>
    <xf numFmtId="10" fontId="43" fillId="0" borderId="0" xfId="1" applyNumberFormat="1" applyAlignment="1">
      <alignment horizontal="center"/>
    </xf>
    <xf numFmtId="0" fontId="0" fillId="10" borderId="0" xfId="0" applyFill="1" applyAlignment="1">
      <alignment horizontal="left" indent="2"/>
    </xf>
    <xf numFmtId="0" fontId="0" fillId="10" borderId="0" xfId="0" applyFill="1" applyAlignment="1">
      <alignment horizontal="center"/>
    </xf>
    <xf numFmtId="4" fontId="0" fillId="10" borderId="0" xfId="0" applyNumberFormat="1" applyFill="1" applyAlignment="1">
      <alignment horizontal="center"/>
    </xf>
    <xf numFmtId="168" fontId="0" fillId="10" borderId="0" xfId="0" applyNumberFormat="1" applyFill="1"/>
    <xf numFmtId="171" fontId="0" fillId="10" borderId="0" xfId="0" applyNumberFormat="1" applyFill="1"/>
    <xf numFmtId="172" fontId="0" fillId="10" borderId="0" xfId="0" applyNumberFormat="1" applyFill="1" applyAlignment="1">
      <alignment horizontal="center"/>
    </xf>
    <xf numFmtId="165" fontId="43" fillId="10" borderId="0" xfId="1" applyNumberFormat="1" applyFill="1" applyAlignment="1">
      <alignment horizontal="center"/>
    </xf>
    <xf numFmtId="2" fontId="0" fillId="10" borderId="0" xfId="0" applyNumberFormat="1" applyFill="1" applyAlignment="1">
      <alignment horizontal="center"/>
    </xf>
    <xf numFmtId="0" fontId="19" fillId="0" borderId="5" xfId="0" applyFont="1" applyBorder="1"/>
    <xf numFmtId="4" fontId="0" fillId="0" borderId="5" xfId="0" applyNumberFormat="1" applyBorder="1" applyAlignment="1">
      <alignment horizontal="center"/>
    </xf>
    <xf numFmtId="0" fontId="0" fillId="0" borderId="10" xfId="0" applyBorder="1" applyAlignment="1">
      <alignment horizontal="center"/>
    </xf>
    <xf numFmtId="0" fontId="19" fillId="0" borderId="14" xfId="0" applyFont="1" applyBorder="1"/>
    <xf numFmtId="4" fontId="19" fillId="0" borderId="5" xfId="0" applyNumberFormat="1" applyFont="1" applyBorder="1" applyAlignment="1">
      <alignment horizontal="center"/>
    </xf>
    <xf numFmtId="0" fontId="19" fillId="0" borderId="5" xfId="0" applyFont="1" applyBorder="1" applyAlignment="1">
      <alignment horizontal="center"/>
    </xf>
    <xf numFmtId="4" fontId="19" fillId="0" borderId="15" xfId="0" applyNumberFormat="1" applyFont="1" applyBorder="1" applyAlignment="1">
      <alignment horizontal="center"/>
    </xf>
    <xf numFmtId="10" fontId="15" fillId="0" borderId="0" xfId="1" applyNumberFormat="1" applyFont="1" applyAlignment="1">
      <alignment horizontal="center"/>
    </xf>
    <xf numFmtId="0" fontId="19" fillId="0" borderId="12" xfId="0" applyFont="1" applyBorder="1"/>
    <xf numFmtId="4" fontId="19" fillId="0" borderId="10" xfId="0" applyNumberFormat="1" applyFont="1" applyBorder="1" applyAlignment="1">
      <alignment horizontal="center"/>
    </xf>
    <xf numFmtId="4" fontId="19" fillId="0" borderId="13" xfId="0" applyNumberFormat="1" applyFont="1" applyBorder="1" applyAlignment="1">
      <alignment horizontal="center"/>
    </xf>
    <xf numFmtId="0" fontId="19" fillId="0" borderId="5" xfId="0" applyFont="1" applyBorder="1" applyAlignment="1">
      <alignment horizontal="left"/>
    </xf>
    <xf numFmtId="10" fontId="43" fillId="0" borderId="5" xfId="1" applyNumberFormat="1" applyBorder="1" applyAlignment="1">
      <alignment horizontal="center"/>
    </xf>
    <xf numFmtId="10" fontId="19" fillId="0" borderId="5" xfId="1" applyNumberFormat="1" applyFont="1" applyBorder="1" applyAlignment="1">
      <alignment horizontal="center"/>
    </xf>
    <xf numFmtId="10" fontId="19" fillId="0" borderId="8" xfId="0" applyNumberFormat="1" applyFont="1" applyBorder="1" applyAlignment="1">
      <alignment horizontal="center"/>
    </xf>
    <xf numFmtId="0" fontId="20" fillId="7" borderId="8" xfId="0" applyFont="1" applyFill="1" applyBorder="1"/>
    <xf numFmtId="168" fontId="19" fillId="0" borderId="5" xfId="0" applyNumberFormat="1" applyFont="1" applyBorder="1"/>
    <xf numFmtId="2" fontId="0" fillId="0" borderId="0" xfId="0" applyNumberFormat="1"/>
    <xf numFmtId="0" fontId="0" fillId="0" borderId="7" xfId="0" applyBorder="1"/>
    <xf numFmtId="168" fontId="0" fillId="0" borderId="1" xfId="0" applyNumberFormat="1" applyBorder="1"/>
    <xf numFmtId="168" fontId="0" fillId="0" borderId="8" xfId="0" applyNumberFormat="1" applyBorder="1"/>
    <xf numFmtId="0" fontId="0" fillId="0" borderId="16" xfId="0" applyBorder="1"/>
    <xf numFmtId="174" fontId="0" fillId="0" borderId="17" xfId="0" applyNumberFormat="1" applyBorder="1"/>
    <xf numFmtId="174" fontId="0" fillId="0" borderId="0" xfId="0" applyNumberFormat="1"/>
    <xf numFmtId="0" fontId="0" fillId="0" borderId="18" xfId="0" applyBorder="1"/>
    <xf numFmtId="174" fontId="0" fillId="0" borderId="19" xfId="0" applyNumberFormat="1" applyBorder="1"/>
    <xf numFmtId="169" fontId="20" fillId="0" borderId="10" xfId="0" applyNumberFormat="1" applyFont="1" applyBorder="1" applyAlignment="1">
      <alignment horizontal="center"/>
    </xf>
    <xf numFmtId="165" fontId="0" fillId="0" borderId="0" xfId="0" applyNumberFormat="1"/>
    <xf numFmtId="165" fontId="20" fillId="0" borderId="10" xfId="0" applyNumberFormat="1" applyFont="1" applyBorder="1" applyAlignment="1">
      <alignment horizontal="center"/>
    </xf>
    <xf numFmtId="0" fontId="0" fillId="0" borderId="20" xfId="0" applyBorder="1"/>
    <xf numFmtId="168" fontId="0" fillId="0" borderId="21" xfId="0" applyNumberFormat="1" applyBorder="1"/>
    <xf numFmtId="0" fontId="0" fillId="0" borderId="10" xfId="0" applyBorder="1" applyAlignment="1">
      <alignment horizontal="left"/>
    </xf>
    <xf numFmtId="0" fontId="0" fillId="0" borderId="22" xfId="0" applyBorder="1"/>
    <xf numFmtId="0" fontId="0" fillId="0" borderId="5" xfId="0" applyBorder="1" applyAlignment="1">
      <alignment horizontal="left" indent="2"/>
    </xf>
    <xf numFmtId="168" fontId="30" fillId="0" borderId="5" xfId="0" applyNumberFormat="1" applyFont="1" applyBorder="1"/>
    <xf numFmtId="0" fontId="0" fillId="0" borderId="0" xfId="0" applyAlignment="1">
      <alignment horizontal="left"/>
    </xf>
    <xf numFmtId="168" fontId="0" fillId="0" borderId="5" xfId="0" applyNumberFormat="1" applyBorder="1"/>
    <xf numFmtId="0" fontId="19" fillId="0" borderId="0" xfId="0" applyFont="1" applyAlignment="1">
      <alignment horizontal="left"/>
    </xf>
    <xf numFmtId="0" fontId="0" fillId="0" borderId="5" xfId="0" applyBorder="1" applyAlignment="1">
      <alignment horizontal="left" indent="1"/>
    </xf>
    <xf numFmtId="3" fontId="30" fillId="0" borderId="0" xfId="0" applyNumberFormat="1" applyFont="1"/>
    <xf numFmtId="0" fontId="0" fillId="0" borderId="5" xfId="0" applyBorder="1" applyAlignment="1">
      <alignment horizontal="left"/>
    </xf>
    <xf numFmtId="3" fontId="30" fillId="0" borderId="5" xfId="0" applyNumberFormat="1" applyFont="1" applyBorder="1"/>
    <xf numFmtId="169" fontId="37" fillId="0" borderId="0" xfId="0" applyNumberFormat="1" applyFont="1"/>
    <xf numFmtId="168" fontId="19" fillId="0" borderId="15" xfId="0" applyNumberFormat="1" applyFont="1" applyBorder="1"/>
    <xf numFmtId="0" fontId="19" fillId="0" borderId="6" xfId="0" applyFont="1" applyBorder="1"/>
    <xf numFmtId="168" fontId="19" fillId="0" borderId="11" xfId="0" applyNumberFormat="1" applyFont="1" applyBorder="1"/>
    <xf numFmtId="168" fontId="19" fillId="0" borderId="13" xfId="0" applyNumberFormat="1" applyFont="1" applyBorder="1"/>
    <xf numFmtId="0" fontId="1" fillId="2" borderId="0" xfId="2"/>
    <xf numFmtId="0" fontId="2" fillId="2" borderId="1" xfId="3">
      <alignment horizontal="left" vertical="center" readingOrder="1"/>
    </xf>
    <xf numFmtId="0" fontId="5" fillId="3" borderId="0" xfId="7">
      <alignment horizontal="center"/>
    </xf>
    <xf numFmtId="0" fontId="4" fillId="2" borderId="3" xfId="9">
      <alignment horizontal="left"/>
    </xf>
    <xf numFmtId="0" fontId="4" fillId="2" borderId="3" xfId="8">
      <alignment horizontal="right"/>
    </xf>
    <xf numFmtId="0" fontId="4" fillId="2" borderId="2" xfId="6">
      <alignment horizontal="left"/>
    </xf>
    <xf numFmtId="0" fontId="4" fillId="2" borderId="2" xfId="5">
      <alignment horizontal="right"/>
    </xf>
    <xf numFmtId="0" fontId="6" fillId="3" borderId="6" xfId="27"/>
    <xf numFmtId="164" fontId="6" fillId="3" borderId="4" xfId="11">
      <alignment horizontal="right"/>
    </xf>
    <xf numFmtId="164" fontId="6" fillId="4" borderId="4" xfId="14">
      <alignment horizontal="right"/>
    </xf>
    <xf numFmtId="0" fontId="10" fillId="3" borderId="6" xfId="29"/>
    <xf numFmtId="164" fontId="8" fillId="3" borderId="4" xfId="23">
      <alignment horizontal="right"/>
    </xf>
    <xf numFmtId="164" fontId="8" fillId="4" borderId="4" xfId="18">
      <alignment horizontal="right"/>
    </xf>
    <xf numFmtId="3" fontId="6" fillId="3" borderId="4" xfId="10">
      <alignment horizontal="right"/>
    </xf>
    <xf numFmtId="3" fontId="6" fillId="4" borderId="4" xfId="13">
      <alignment horizontal="right"/>
    </xf>
    <xf numFmtId="0" fontId="9" fillId="3" borderId="6" xfId="28"/>
    <xf numFmtId="164" fontId="7" fillId="3" borderId="4" xfId="19">
      <alignment horizontal="right"/>
    </xf>
    <xf numFmtId="164" fontId="7" fillId="4" borderId="4" xfId="16">
      <alignment horizontal="right"/>
    </xf>
    <xf numFmtId="4" fontId="6" fillId="3" borderId="4" xfId="12">
      <alignment horizontal="right"/>
    </xf>
    <xf numFmtId="4" fontId="6" fillId="4" borderId="4" xfId="15">
      <alignment horizontal="right"/>
    </xf>
    <xf numFmtId="4" fontId="7" fillId="3" borderId="4" xfId="20">
      <alignment horizontal="right"/>
    </xf>
    <xf numFmtId="4" fontId="7" fillId="4" borderId="4" xfId="17">
      <alignment horizontal="right"/>
    </xf>
    <xf numFmtId="0" fontId="7" fillId="5" borderId="5" xfId="25"/>
    <xf numFmtId="4" fontId="8" fillId="3" borderId="4" xfId="24">
      <alignment horizontal="right"/>
    </xf>
    <xf numFmtId="3" fontId="8" fillId="3" borderId="4" xfId="22">
      <alignment horizontal="right"/>
    </xf>
    <xf numFmtId="0" fontId="10" fillId="11" borderId="6" xfId="29" applyFill="1"/>
    <xf numFmtId="164" fontId="8" fillId="11" borderId="4" xfId="23" applyFill="1">
      <alignment horizontal="right"/>
    </xf>
    <xf numFmtId="0" fontId="0" fillId="11" borderId="0" xfId="0" applyFill="1"/>
    <xf numFmtId="0" fontId="0" fillId="12" borderId="0" xfId="0" applyFill="1"/>
    <xf numFmtId="164" fontId="8" fillId="11" borderId="4" xfId="18" applyFill="1">
      <alignment horizontal="right"/>
    </xf>
    <xf numFmtId="0" fontId="9" fillId="0" borderId="0" xfId="26"/>
    <xf numFmtId="14" fontId="4" fillId="2" borderId="2" xfId="6" applyNumberFormat="1">
      <alignment horizontal="left"/>
    </xf>
    <xf numFmtId="4" fontId="8" fillId="3" borderId="4" xfId="21"/>
    <xf numFmtId="0" fontId="41" fillId="6" borderId="0" xfId="30" applyFont="1">
      <alignment horizontal="center"/>
    </xf>
    <xf numFmtId="0" fontId="42" fillId="0" borderId="0" xfId="4" applyFont="1" applyAlignment="1">
      <alignment horizontal="left"/>
    </xf>
    <xf numFmtId="2" fontId="42" fillId="0" borderId="0" xfId="4" applyNumberFormat="1" applyFont="1" applyAlignment="1">
      <alignment horizontal="right"/>
    </xf>
    <xf numFmtId="0" fontId="46" fillId="0" borderId="0" xfId="0" applyFont="1"/>
    <xf numFmtId="175" fontId="47" fillId="0" borderId="0" xfId="0" applyNumberFormat="1" applyFont="1" applyAlignment="1">
      <alignment horizontal="center"/>
    </xf>
    <xf numFmtId="165" fontId="46" fillId="0" borderId="0" xfId="0" applyNumberFormat="1" applyFont="1" applyAlignment="1">
      <alignment horizontal="center"/>
    </xf>
    <xf numFmtId="165" fontId="47" fillId="0" borderId="0" xfId="1" applyNumberFormat="1" applyFont="1" applyAlignment="1">
      <alignment horizontal="center"/>
    </xf>
    <xf numFmtId="10" fontId="47" fillId="0" borderId="0" xfId="1" applyNumberFormat="1" applyFont="1" applyAlignment="1">
      <alignment horizontal="center"/>
    </xf>
    <xf numFmtId="176" fontId="37" fillId="0" borderId="5" xfId="0" applyNumberFormat="1" applyFont="1" applyBorder="1" applyAlignment="1">
      <alignment horizontal="center"/>
    </xf>
    <xf numFmtId="176" fontId="37" fillId="0" borderId="6" xfId="0" applyNumberFormat="1" applyFont="1" applyBorder="1" applyAlignment="1">
      <alignment horizontal="center"/>
    </xf>
    <xf numFmtId="176" fontId="45" fillId="0" borderId="14" xfId="0" applyNumberFormat="1" applyFont="1" applyBorder="1" applyAlignment="1">
      <alignment horizontal="center"/>
    </xf>
    <xf numFmtId="176" fontId="37" fillId="0" borderId="15" xfId="0" applyNumberFormat="1" applyFont="1" applyBorder="1" applyAlignment="1">
      <alignment horizontal="center"/>
    </xf>
    <xf numFmtId="176" fontId="37" fillId="0" borderId="11" xfId="0" applyNumberFormat="1" applyFont="1" applyBorder="1" applyAlignment="1">
      <alignment horizontal="center"/>
    </xf>
    <xf numFmtId="176" fontId="37" fillId="0" borderId="12" xfId="0" applyNumberFormat="1" applyFont="1" applyBorder="1" applyAlignment="1">
      <alignment horizontal="center"/>
    </xf>
    <xf numFmtId="176" fontId="37" fillId="0" borderId="10" xfId="0" applyNumberFormat="1" applyFont="1" applyBorder="1" applyAlignment="1">
      <alignment horizontal="center"/>
    </xf>
    <xf numFmtId="176" fontId="37" fillId="0" borderId="13" xfId="0" applyNumberFormat="1" applyFont="1" applyBorder="1" applyAlignment="1">
      <alignment horizontal="center"/>
    </xf>
    <xf numFmtId="176" fontId="28" fillId="0" borderId="0" xfId="0" applyNumberFormat="1" applyFont="1" applyAlignment="1">
      <alignment horizontal="center"/>
    </xf>
    <xf numFmtId="0" fontId="48" fillId="0" borderId="0" xfId="0" applyFont="1"/>
    <xf numFmtId="176" fontId="48" fillId="0" borderId="14" xfId="0" applyNumberFormat="1" applyFont="1" applyBorder="1" applyAlignment="1">
      <alignment horizontal="center"/>
    </xf>
    <xf numFmtId="176" fontId="48" fillId="0" borderId="5" xfId="0" applyNumberFormat="1" applyFont="1" applyBorder="1" applyAlignment="1">
      <alignment horizontal="center"/>
    </xf>
    <xf numFmtId="176" fontId="48" fillId="0" borderId="15" xfId="0" applyNumberFormat="1" applyFont="1" applyBorder="1" applyAlignment="1">
      <alignment horizontal="center"/>
    </xf>
    <xf numFmtId="176" fontId="48" fillId="0" borderId="6" xfId="0" applyNumberFormat="1" applyFont="1" applyBorder="1" applyAlignment="1">
      <alignment horizontal="center"/>
    </xf>
    <xf numFmtId="176" fontId="48" fillId="0" borderId="0" xfId="0" applyNumberFormat="1" applyFont="1" applyAlignment="1">
      <alignment horizontal="center"/>
    </xf>
    <xf numFmtId="176" fontId="48" fillId="0" borderId="11" xfId="0" applyNumberFormat="1" applyFont="1" applyBorder="1" applyAlignment="1">
      <alignment horizontal="center"/>
    </xf>
    <xf numFmtId="176" fontId="48" fillId="0" borderId="12" xfId="0" applyNumberFormat="1" applyFont="1" applyBorder="1" applyAlignment="1">
      <alignment horizontal="center"/>
    </xf>
    <xf numFmtId="176" fontId="48" fillId="0" borderId="10" xfId="0" applyNumberFormat="1" applyFont="1" applyBorder="1" applyAlignment="1">
      <alignment horizontal="center"/>
    </xf>
    <xf numFmtId="176" fontId="48" fillId="0" borderId="13" xfId="0" applyNumberFormat="1" applyFont="1" applyBorder="1" applyAlignment="1">
      <alignment horizontal="center"/>
    </xf>
    <xf numFmtId="0" fontId="49" fillId="0" borderId="3" xfId="0" applyFont="1" applyBorder="1" applyAlignment="1">
      <alignment horizontal="center"/>
    </xf>
    <xf numFmtId="0" fontId="50" fillId="0" borderId="0" xfId="0" applyFont="1"/>
    <xf numFmtId="177" fontId="0" fillId="0" borderId="0" xfId="0" applyNumberFormat="1" applyAlignment="1">
      <alignment horizontal="center"/>
    </xf>
    <xf numFmtId="177" fontId="49" fillId="0" borderId="3" xfId="0" applyNumberFormat="1" applyFont="1" applyBorder="1" applyAlignment="1">
      <alignment horizontal="center"/>
    </xf>
    <xf numFmtId="177" fontId="49" fillId="0" borderId="4" xfId="0" applyNumberFormat="1" applyFont="1" applyBorder="1" applyAlignment="1">
      <alignment horizontal="center"/>
    </xf>
    <xf numFmtId="178" fontId="0" fillId="0" borderId="0" xfId="0" applyNumberFormat="1" applyAlignment="1">
      <alignment horizontal="center"/>
    </xf>
    <xf numFmtId="178" fontId="49" fillId="0" borderId="2" xfId="1" applyNumberFormat="1" applyFont="1" applyBorder="1" applyAlignment="1">
      <alignment horizontal="center"/>
    </xf>
    <xf numFmtId="178" fontId="49" fillId="0" borderId="2" xfId="0" applyNumberFormat="1" applyFont="1" applyBorder="1" applyAlignment="1">
      <alignment horizontal="center"/>
    </xf>
    <xf numFmtId="177" fontId="43" fillId="0" borderId="0" xfId="1" applyNumberFormat="1" applyAlignment="1">
      <alignment horizontal="center"/>
    </xf>
    <xf numFmtId="177" fontId="49" fillId="0" borderId="4" xfId="1" applyNumberFormat="1" applyFont="1" applyBorder="1" applyAlignment="1">
      <alignment horizontal="center"/>
    </xf>
    <xf numFmtId="177" fontId="49" fillId="0" borderId="2" xfId="1" applyNumberFormat="1" applyFont="1" applyBorder="1" applyAlignment="1">
      <alignment horizontal="center"/>
    </xf>
    <xf numFmtId="179" fontId="49" fillId="0" borderId="3" xfId="0" applyNumberFormat="1" applyFont="1" applyBorder="1" applyAlignment="1">
      <alignment horizontal="center"/>
    </xf>
    <xf numFmtId="179" fontId="0" fillId="0" borderId="0" xfId="0" applyNumberFormat="1" applyAlignment="1">
      <alignment horizontal="center"/>
    </xf>
    <xf numFmtId="180" fontId="51" fillId="0" borderId="0" xfId="0" applyNumberFormat="1" applyFont="1" applyAlignment="1">
      <alignment horizontal="center"/>
    </xf>
    <xf numFmtId="180" fontId="52" fillId="0" borderId="4" xfId="0" applyNumberFormat="1" applyFont="1" applyBorder="1" applyAlignment="1">
      <alignment horizontal="center"/>
    </xf>
    <xf numFmtId="180" fontId="52" fillId="0" borderId="2" xfId="0" applyNumberFormat="1" applyFont="1" applyBorder="1" applyAlignment="1">
      <alignment horizontal="center"/>
    </xf>
    <xf numFmtId="181" fontId="49" fillId="0" borderId="4" xfId="0" applyNumberFormat="1" applyFont="1" applyBorder="1" applyAlignment="1">
      <alignment horizontal="center"/>
    </xf>
    <xf numFmtId="181" fontId="0" fillId="0" borderId="0" xfId="0" applyNumberFormat="1" applyAlignment="1">
      <alignment horizontal="center"/>
    </xf>
    <xf numFmtId="182" fontId="49" fillId="0" borderId="4" xfId="0" applyNumberFormat="1" applyFont="1" applyBorder="1" applyAlignment="1">
      <alignment horizontal="center"/>
    </xf>
    <xf numFmtId="182" fontId="0" fillId="0" borderId="0" xfId="0" applyNumberFormat="1" applyAlignment="1">
      <alignment horizontal="center"/>
    </xf>
    <xf numFmtId="181" fontId="49" fillId="0" borderId="2" xfId="0" applyNumberFormat="1" applyFont="1" applyBorder="1" applyAlignment="1">
      <alignment horizontal="center"/>
    </xf>
    <xf numFmtId="182" fontId="49" fillId="0" borderId="2" xfId="0" applyNumberFormat="1" applyFont="1" applyBorder="1" applyAlignment="1">
      <alignment horizontal="center"/>
    </xf>
    <xf numFmtId="177" fontId="28" fillId="0" borderId="10" xfId="0" applyNumberFormat="1" applyFont="1" applyBorder="1"/>
    <xf numFmtId="177" fontId="53" fillId="0" borderId="10" xfId="0" applyNumberFormat="1" applyFont="1" applyBorder="1"/>
    <xf numFmtId="0" fontId="18" fillId="7" borderId="0" xfId="0" applyFont="1" applyFill="1" applyAlignment="1">
      <alignment horizontal="right"/>
    </xf>
    <xf numFmtId="0" fontId="19" fillId="8" borderId="9" xfId="0" applyFont="1" applyFill="1" applyBorder="1" applyAlignment="1">
      <alignment horizontal="center"/>
    </xf>
    <xf numFmtId="0" fontId="0" fillId="5" borderId="9" xfId="0" applyFill="1" applyBorder="1" applyAlignment="1">
      <alignment horizontal="center"/>
    </xf>
    <xf numFmtId="0" fontId="19" fillId="0" borderId="3" xfId="0" applyFont="1" applyBorder="1" applyAlignment="1">
      <alignment horizontal="center"/>
    </xf>
    <xf numFmtId="0" fontId="0" fillId="0" borderId="0" xfId="0" applyAlignment="1">
      <alignment horizontal="center"/>
    </xf>
    <xf numFmtId="0" fontId="0" fillId="5" borderId="2" xfId="0" applyFill="1" applyBorder="1" applyAlignment="1">
      <alignment horizontal="center"/>
    </xf>
    <xf numFmtId="0" fontId="29" fillId="8" borderId="9" xfId="0" applyFont="1" applyFill="1" applyBorder="1" applyAlignment="1">
      <alignment horizontal="center"/>
    </xf>
    <xf numFmtId="0" fontId="0" fillId="0" borderId="9" xfId="0" applyBorder="1" applyAlignment="1">
      <alignment horizontal="center"/>
    </xf>
    <xf numFmtId="0" fontId="0" fillId="8" borderId="0" xfId="0" applyFill="1" applyAlignment="1">
      <alignment horizontal="center"/>
    </xf>
    <xf numFmtId="0" fontId="44" fillId="13" borderId="3" xfId="0" applyFont="1" applyFill="1" applyBorder="1" applyAlignment="1">
      <alignment horizontal="center" vertical="center"/>
    </xf>
    <xf numFmtId="0" fontId="44" fillId="13" borderId="4" xfId="0" applyFont="1" applyFill="1" applyBorder="1" applyAlignment="1">
      <alignment horizontal="center" vertical="center"/>
    </xf>
    <xf numFmtId="0" fontId="44" fillId="13" borderId="2" xfId="0" applyFont="1" applyFill="1" applyBorder="1" applyAlignment="1">
      <alignment horizontal="center" vertical="center"/>
    </xf>
    <xf numFmtId="0" fontId="44" fillId="13" borderId="6" xfId="0" applyFont="1" applyFill="1" applyBorder="1" applyAlignment="1">
      <alignment horizontal="center"/>
    </xf>
    <xf numFmtId="0" fontId="44" fillId="13" borderId="0" xfId="0" applyFont="1" applyFill="1" applyAlignment="1">
      <alignment horizontal="center"/>
    </xf>
    <xf numFmtId="0" fontId="44" fillId="13" borderId="7" xfId="0" applyFont="1" applyFill="1" applyBorder="1" applyAlignment="1">
      <alignment horizontal="center"/>
    </xf>
    <xf numFmtId="0" fontId="44" fillId="13" borderId="1" xfId="0" applyFont="1" applyFill="1" applyBorder="1" applyAlignment="1">
      <alignment horizontal="center"/>
    </xf>
    <xf numFmtId="0" fontId="44" fillId="13" borderId="8" xfId="0" applyFont="1" applyFill="1" applyBorder="1" applyAlignment="1">
      <alignment horizontal="center"/>
    </xf>
    <xf numFmtId="0" fontId="54" fillId="0" borderId="0" xfId="0" applyFont="1"/>
    <xf numFmtId="183" fontId="0" fillId="0" borderId="0" xfId="0" applyNumberFormat="1"/>
    <xf numFmtId="177" fontId="0" fillId="0" borderId="0" xfId="0" applyNumberFormat="1"/>
    <xf numFmtId="183" fontId="37" fillId="0" borderId="0" xfId="0" applyNumberFormat="1" applyFont="1"/>
    <xf numFmtId="177" fontId="37" fillId="0" borderId="0" xfId="0" applyNumberFormat="1" applyFont="1"/>
    <xf numFmtId="183" fontId="30" fillId="0" borderId="0" xfId="0" applyNumberFormat="1" applyFont="1"/>
    <xf numFmtId="183" fontId="19" fillId="0" borderId="5" xfId="0" applyNumberFormat="1" applyFont="1" applyBorder="1"/>
    <xf numFmtId="177" fontId="19" fillId="0" borderId="5" xfId="0" applyNumberFormat="1" applyFont="1" applyBorder="1"/>
    <xf numFmtId="176" fontId="30" fillId="0" borderId="0" xfId="0" applyNumberFormat="1" applyFont="1"/>
    <xf numFmtId="169" fontId="30" fillId="0" borderId="0" xfId="0" applyNumberFormat="1" applyFont="1"/>
    <xf numFmtId="176" fontId="26" fillId="0" borderId="0" xfId="0" applyNumberFormat="1" applyFont="1"/>
    <xf numFmtId="0" fontId="55" fillId="0" borderId="0" xfId="0" applyFont="1"/>
    <xf numFmtId="0" fontId="56" fillId="0" borderId="0" xfId="0" applyFont="1"/>
    <xf numFmtId="0" fontId="29" fillId="14" borderId="7" xfId="0" applyFont="1" applyFill="1" applyBorder="1" applyAlignment="1">
      <alignment horizontal="center"/>
    </xf>
    <xf numFmtId="0" fontId="29" fillId="14" borderId="1" xfId="0" applyFont="1" applyFill="1" applyBorder="1" applyAlignment="1">
      <alignment horizontal="center"/>
    </xf>
    <xf numFmtId="0" fontId="29" fillId="14" borderId="8" xfId="0" applyFont="1" applyFill="1" applyBorder="1" applyAlignment="1">
      <alignment horizontal="center"/>
    </xf>
  </cellXfs>
  <cellStyles count="31">
    <cellStyle name="blp_column_header" xfId="2" xr:uid="{00000000-0005-0000-0000-000006000000}"/>
    <cellStyle name="blp_title_header_row_left" xfId="3" xr:uid="{00000000-0005-0000-0000-000007000000}"/>
    <cellStyle name="defaultsheetstyle" xfId="4" xr:uid="{00000000-0005-0000-0000-000008000000}"/>
    <cellStyle name="fa_column_header_bottom" xfId="5" xr:uid="{00000000-0005-0000-0000-000009000000}"/>
    <cellStyle name="fa_column_header_bottom_left" xfId="6" xr:uid="{00000000-0005-0000-0000-00000A000000}"/>
    <cellStyle name="fa_column_header_empty" xfId="7" xr:uid="{00000000-0005-0000-0000-00000B000000}"/>
    <cellStyle name="fa_column_header_top" xfId="8" xr:uid="{00000000-0005-0000-0000-00000C000000}"/>
    <cellStyle name="fa_column_header_top_left" xfId="9" xr:uid="{00000000-0005-0000-0000-00000D000000}"/>
    <cellStyle name="fa_data_bold_0_grouped" xfId="10" xr:uid="{00000000-0005-0000-0000-00000E000000}"/>
    <cellStyle name="fa_data_bold_1_grouped" xfId="11" xr:uid="{00000000-0005-0000-0000-00000F000000}"/>
    <cellStyle name="fa_data_bold_2_grouped" xfId="12" xr:uid="{00000000-0005-0000-0000-000010000000}"/>
    <cellStyle name="fa_data_current_bold_0_grouped" xfId="13" xr:uid="{00000000-0005-0000-0000-000011000000}"/>
    <cellStyle name="fa_data_current_bold_1_grouped" xfId="14" xr:uid="{00000000-0005-0000-0000-000012000000}"/>
    <cellStyle name="fa_data_current_bold_2_grouped" xfId="15" xr:uid="{00000000-0005-0000-0000-000013000000}"/>
    <cellStyle name="fa_data_current_italic_1_grouped" xfId="16" xr:uid="{00000000-0005-0000-0000-000014000000}"/>
    <cellStyle name="fa_data_current_italic_2_grouped" xfId="17" xr:uid="{00000000-0005-0000-0000-000015000000}"/>
    <cellStyle name="fa_data_current_standard_1_grouped" xfId="18" xr:uid="{00000000-0005-0000-0000-000016000000}"/>
    <cellStyle name="fa_data_italic_1_grouped" xfId="19" xr:uid="{00000000-0005-0000-0000-000017000000}"/>
    <cellStyle name="fa_data_italic_2_grouped" xfId="20" xr:uid="{00000000-0005-0000-0000-000018000000}"/>
    <cellStyle name="fa_data_standard" xfId="21" xr:uid="{00000000-0005-0000-0000-000019000000}"/>
    <cellStyle name="fa_data_standard_0_grouped" xfId="22" xr:uid="{00000000-0005-0000-0000-00001A000000}"/>
    <cellStyle name="fa_data_standard_1_grouped" xfId="23" xr:uid="{00000000-0005-0000-0000-00001B000000}"/>
    <cellStyle name="fa_data_standard_2_grouped" xfId="24" xr:uid="{00000000-0005-0000-0000-00001C000000}"/>
    <cellStyle name="fa_footer_italic" xfId="25" xr:uid="{00000000-0005-0000-0000-00001D000000}"/>
    <cellStyle name="fa_grey_text_italics" xfId="26" xr:uid="{00000000-0005-0000-0000-00001E000000}"/>
    <cellStyle name="fa_row_header_bold" xfId="27" xr:uid="{00000000-0005-0000-0000-00001F000000}"/>
    <cellStyle name="fa_row_header_italic" xfId="28" xr:uid="{00000000-0005-0000-0000-000020000000}"/>
    <cellStyle name="fa_row_header_standard" xfId="29" xr:uid="{00000000-0005-0000-0000-000021000000}"/>
    <cellStyle name="Normal" xfId="0" builtinId="0"/>
    <cellStyle name="Percent" xfId="1" builtinId="5"/>
    <cellStyle name="tablesubHeader" xfId="30" xr:uid="{00000000-0005-0000-0000-00002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8C2AD"/>
      <rgbColor rgb="FF808080"/>
      <rgbColor rgb="FF9999FF"/>
      <rgbColor rgb="FF993366"/>
      <rgbColor rgb="FFF2F2F2"/>
      <rgbColor rgb="FFE7E6E6"/>
      <rgbColor rgb="FF660066"/>
      <rgbColor rgb="FFFF8080"/>
      <rgbColor rgb="FF0066CC"/>
      <rgbColor rgb="FFD0CECE"/>
      <rgbColor rgb="FF000080"/>
      <rgbColor rgb="FFFF00FF"/>
      <rgbColor rgb="FFFFFF00"/>
      <rgbColor rgb="FF00FFFF"/>
      <rgbColor rgb="FF800080"/>
      <rgbColor rgb="FFC80315"/>
      <rgbColor rgb="FF008080"/>
      <rgbColor rgb="FF0000FF"/>
      <rgbColor rgb="FF00CCFF"/>
      <rgbColor rgb="FFD8D8D8"/>
      <rgbColor rgb="FFD9D9D9"/>
      <rgbColor rgb="FFFFFF99"/>
      <rgbColor rgb="FF99CCFF"/>
      <rgbColor rgb="FFFF99CC"/>
      <rgbColor rgb="FFCC99FF"/>
      <rgbColor rgb="FFFBE5D6"/>
      <rgbColor rgb="FF4472C4"/>
      <rgbColor rgb="FF33CCCC"/>
      <rgbColor rgb="FF99CC00"/>
      <rgbColor rgb="FFFFCC00"/>
      <rgbColor rgb="FFFF9900"/>
      <rgbColor rgb="FFFF6600"/>
      <rgbColor rgb="FF4F81BD"/>
      <rgbColor rgb="FF7F7F7F"/>
      <rgbColor rgb="FF003366"/>
      <rgbColor rgb="FF70AD47"/>
      <rgbColor rgb="FF003300"/>
      <rgbColor rgb="FF385724"/>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990033"/>
      <color rgb="FFFF7C80"/>
      <color rgb="FFCC3300"/>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'FootBall Field and Ratios'!$B$3</c:f>
          <c:strCache>
            <c:ptCount val="1"/>
            <c:pt idx="0">
              <c:v>Profitability Ratios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'FootBall Field and Ratios'!$B$4</c:f>
              <c:strCache>
                <c:ptCount val="1"/>
                <c:pt idx="0">
                  <c:v>EBIT Margin</c:v>
                </c:pt>
              </c:strCache>
            </c:strRef>
          </c:tx>
          <c:spPr>
            <a:ln w="28575" cap="rnd">
              <a:solidFill>
                <a:srgbClr val="CC3300"/>
              </a:solidFill>
              <a:round/>
            </a:ln>
            <a:effectLst/>
          </c:spPr>
          <c:marker>
            <c:symbol val="none"/>
          </c:marker>
          <c:val>
            <c:numRef>
              <c:f>'FootBall Field and Ratios'!$C$4:$Q$4</c:f>
              <c:numCache>
                <c:formatCode>0.0%;\(0.0%\);"-"</c:formatCode>
                <c:ptCount val="15"/>
                <c:pt idx="0">
                  <c:v>0.28736613378860781</c:v>
                </c:pt>
                <c:pt idx="1">
                  <c:v>0.29271012405333829</c:v>
                </c:pt>
                <c:pt idx="2">
                  <c:v>0.29128079678490304</c:v>
                </c:pt>
                <c:pt idx="3">
                  <c:v>0.22702944751263407</c:v>
                </c:pt>
                <c:pt idx="4">
                  <c:v>0.29784445091756478</c:v>
                </c:pt>
                <c:pt idx="5">
                  <c:v>0.28380112721933648</c:v>
                </c:pt>
                <c:pt idx="6">
                  <c:v>0.2901506674937151</c:v>
                </c:pt>
                <c:pt idx="7">
                  <c:v>0.29270077531658828</c:v>
                </c:pt>
                <c:pt idx="8">
                  <c:v>0.29251502979260552</c:v>
                </c:pt>
                <c:pt idx="9">
                  <c:v>0.29718169645927228</c:v>
                </c:pt>
                <c:pt idx="10">
                  <c:v>0.30218169645927229</c:v>
                </c:pt>
                <c:pt idx="11">
                  <c:v>0.30718169645927224</c:v>
                </c:pt>
                <c:pt idx="12">
                  <c:v>0.31218169645927218</c:v>
                </c:pt>
                <c:pt idx="13">
                  <c:v>0.31718169645927224</c:v>
                </c:pt>
                <c:pt idx="14">
                  <c:v>0.3221816964592723</c:v>
                </c:pt>
              </c:numCache>
            </c:numRef>
          </c:val>
          <c:smooth val="0"/>
          <c:extLst>
            <c:ext xmlns:c16="http://schemas.microsoft.com/office/drawing/2014/chart" uri="{C3380CC4-5D6E-409C-BE32-E72D297353CC}">
              <c16:uniqueId val="{00000000-52DE-4FAA-9716-2866E48C34F7}"/>
            </c:ext>
          </c:extLst>
        </c:ser>
        <c:ser>
          <c:idx val="1"/>
          <c:order val="1"/>
          <c:tx>
            <c:strRef>
              <c:f>'FootBall Field and Ratios'!$B$5</c:f>
              <c:strCache>
                <c:ptCount val="1"/>
                <c:pt idx="0">
                  <c:v>EBITDA Margin</c:v>
                </c:pt>
              </c:strCache>
            </c:strRef>
          </c:tx>
          <c:spPr>
            <a:ln w="28575" cap="rnd">
              <a:solidFill>
                <a:srgbClr val="800000"/>
              </a:solidFill>
              <a:round/>
            </a:ln>
            <a:effectLst/>
          </c:spPr>
          <c:marker>
            <c:symbol val="none"/>
          </c:marker>
          <c:val>
            <c:numRef>
              <c:f>'FootBall Field and Ratios'!$C$5:$Q$5</c:f>
              <c:numCache>
                <c:formatCode>0.0%;\(0.0%\);"-"</c:formatCode>
                <c:ptCount val="15"/>
                <c:pt idx="0">
                  <c:v>0.33377299999999999</c:v>
                </c:pt>
                <c:pt idx="1">
                  <c:v>0.33120399999999994</c:v>
                </c:pt>
                <c:pt idx="2">
                  <c:v>0.32458900000000002</c:v>
                </c:pt>
                <c:pt idx="3">
                  <c:v>0.25767099999999998</c:v>
                </c:pt>
                <c:pt idx="4">
                  <c:v>0.32811799999999997</c:v>
                </c:pt>
                <c:pt idx="5">
                  <c:v>0.3070472304197715</c:v>
                </c:pt>
                <c:pt idx="6">
                  <c:v>0.31515874020580448</c:v>
                </c:pt>
                <c:pt idx="7">
                  <c:v>0.31778964296481149</c:v>
                </c:pt>
                <c:pt idx="8">
                  <c:v>0.32094662867514051</c:v>
                </c:pt>
                <c:pt idx="9">
                  <c:v>0.32594662867514057</c:v>
                </c:pt>
                <c:pt idx="10">
                  <c:v>0.33094662867514058</c:v>
                </c:pt>
                <c:pt idx="11">
                  <c:v>0.33594662867514052</c:v>
                </c:pt>
                <c:pt idx="12">
                  <c:v>0.34094662867514053</c:v>
                </c:pt>
                <c:pt idx="13">
                  <c:v>0.34594662867514053</c:v>
                </c:pt>
                <c:pt idx="14">
                  <c:v>0.35094662867514059</c:v>
                </c:pt>
              </c:numCache>
            </c:numRef>
          </c:val>
          <c:smooth val="0"/>
          <c:extLst>
            <c:ext xmlns:c16="http://schemas.microsoft.com/office/drawing/2014/chart" uri="{C3380CC4-5D6E-409C-BE32-E72D297353CC}">
              <c16:uniqueId val="{00000001-52DE-4FAA-9716-2866E48C34F7}"/>
            </c:ext>
          </c:extLst>
        </c:ser>
        <c:ser>
          <c:idx val="2"/>
          <c:order val="2"/>
          <c:tx>
            <c:strRef>
              <c:f>'FootBall Field and Ratios'!$B$6</c:f>
              <c:strCache>
                <c:ptCount val="1"/>
                <c:pt idx="0">
                  <c:v>Net Margin</c:v>
                </c:pt>
              </c:strCache>
            </c:strRef>
          </c:tx>
          <c:spPr>
            <a:ln w="28575" cap="rnd">
              <a:solidFill>
                <a:srgbClr val="FF7C80"/>
              </a:solidFill>
              <a:round/>
            </a:ln>
            <a:effectLst/>
          </c:spPr>
          <c:marker>
            <c:symbol val="none"/>
          </c:marker>
          <c:val>
            <c:numRef>
              <c:f>'FootBall Field and Ratios'!$C$6:$Q$6</c:f>
              <c:numCache>
                <c:formatCode>0.0%;\(0.0%\);"-"</c:formatCode>
                <c:ptCount val="15"/>
                <c:pt idx="0">
                  <c:v>0.25360856743752908</c:v>
                </c:pt>
                <c:pt idx="1">
                  <c:v>0.22234353946940483</c:v>
                </c:pt>
                <c:pt idx="2">
                  <c:v>0.23377162327450637</c:v>
                </c:pt>
                <c:pt idx="3">
                  <c:v>0.22707209416380578</c:v>
                </c:pt>
                <c:pt idx="4">
                  <c:v>0.27333444301111065</c:v>
                </c:pt>
                <c:pt idx="5">
                  <c:v>0.21410955502572387</c:v>
                </c:pt>
                <c:pt idx="6">
                  <c:v>0.21905590121019183</c:v>
                </c:pt>
                <c:pt idx="7">
                  <c:v>0.22213107199363047</c:v>
                </c:pt>
                <c:pt idx="8">
                  <c:v>0.22270358822382141</c:v>
                </c:pt>
                <c:pt idx="9">
                  <c:v>0.22712605852851248</c:v>
                </c:pt>
                <c:pt idx="10">
                  <c:v>0.23181318732171965</c:v>
                </c:pt>
                <c:pt idx="11">
                  <c:v>0.23647210341583016</c:v>
                </c:pt>
                <c:pt idx="12">
                  <c:v>0.24113143906280735</c:v>
                </c:pt>
                <c:pt idx="13">
                  <c:v>0.24571837408813008</c:v>
                </c:pt>
                <c:pt idx="14">
                  <c:v>0.25030434125516038</c:v>
                </c:pt>
              </c:numCache>
            </c:numRef>
          </c:val>
          <c:smooth val="0"/>
          <c:extLst>
            <c:ext xmlns:c16="http://schemas.microsoft.com/office/drawing/2014/chart" uri="{C3380CC4-5D6E-409C-BE32-E72D297353CC}">
              <c16:uniqueId val="{00000002-52DE-4FAA-9716-2866E48C34F7}"/>
            </c:ext>
          </c:extLst>
        </c:ser>
        <c:dLbls>
          <c:showLegendKey val="0"/>
          <c:showVal val="0"/>
          <c:showCatName val="0"/>
          <c:showSerName val="0"/>
          <c:showPercent val="0"/>
          <c:showBubbleSize val="0"/>
        </c:dLbls>
        <c:smooth val="0"/>
        <c:axId val="1931376671"/>
        <c:axId val="1862346095"/>
      </c:lineChart>
      <c:catAx>
        <c:axId val="19313766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46095"/>
        <c:crosses val="autoZero"/>
        <c:auto val="1"/>
        <c:lblAlgn val="ctr"/>
        <c:lblOffset val="100"/>
        <c:noMultiLvlLbl val="0"/>
      </c:catAx>
      <c:valAx>
        <c:axId val="1862346095"/>
        <c:scaling>
          <c:orientation val="minMax"/>
        </c:scaling>
        <c:delete val="0"/>
        <c:axPos val="l"/>
        <c:majorGridlines>
          <c:spPr>
            <a:ln w="9525" cap="flat" cmpd="sng" algn="ctr">
              <a:solidFill>
                <a:schemeClr val="tx1">
                  <a:lumMod val="15000"/>
                  <a:lumOff val="85000"/>
                </a:schemeClr>
              </a:solidFill>
              <a:round/>
            </a:ln>
            <a:effectLst/>
          </c:spPr>
        </c:majorGridlines>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7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'FootBall Field and Ratios'!$B$16</c:f>
          <c:strCache>
            <c:ptCount val="1"/>
            <c:pt idx="0">
              <c:v>Leverage Ratios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cked"/>
        <c:varyColors val="0"/>
        <c:ser>
          <c:idx val="0"/>
          <c:order val="0"/>
          <c:tx>
            <c:strRef>
              <c:f>'FootBall Field and Ratios'!$B$18</c:f>
              <c:strCache>
                <c:ptCount val="1"/>
                <c:pt idx="0">
                  <c:v>Net Debt/EBITDA</c:v>
                </c:pt>
              </c:strCache>
            </c:strRef>
          </c:tx>
          <c:spPr>
            <a:ln w="28575" cap="rnd">
              <a:solidFill>
                <a:srgbClr val="CC3300"/>
              </a:solidFill>
              <a:round/>
            </a:ln>
            <a:effectLst/>
          </c:spPr>
          <c:marker>
            <c:symbol val="none"/>
          </c:marker>
          <c:val>
            <c:numRef>
              <c:f>'FootBall Field and Ratios'!$C$18:$Q$18</c:f>
              <c:numCache>
                <c:formatCode>0.0\x;\(0.0\x\);"-"</c:formatCode>
                <c:ptCount val="15"/>
                <c:pt idx="0">
                  <c:v>2.5773076028830504</c:v>
                </c:pt>
                <c:pt idx="1">
                  <c:v>2.0840288980851511</c:v>
                </c:pt>
                <c:pt idx="2">
                  <c:v>2.1589395060897654</c:v>
                </c:pt>
                <c:pt idx="3">
                  <c:v>2.6565706719629261</c:v>
                </c:pt>
                <c:pt idx="4">
                  <c:v>2.1275206087507925</c:v>
                </c:pt>
                <c:pt idx="5">
                  <c:v>2.1173341095525355</c:v>
                </c:pt>
                <c:pt idx="6">
                  <c:v>2.020495803088469</c:v>
                </c:pt>
                <c:pt idx="7">
                  <c:v>1.9125271804744171</c:v>
                </c:pt>
                <c:pt idx="8">
                  <c:v>1.8077770004371856</c:v>
                </c:pt>
                <c:pt idx="9">
                  <c:v>1.7064839229064845</c:v>
                </c:pt>
                <c:pt idx="10">
                  <c:v>1.6097069539930347</c:v>
                </c:pt>
                <c:pt idx="11">
                  <c:v>1.5188768079405168</c:v>
                </c:pt>
                <c:pt idx="12">
                  <c:v>1.4309099012824349</c:v>
                </c:pt>
                <c:pt idx="13">
                  <c:v>1.3528028845519677</c:v>
                </c:pt>
                <c:pt idx="14">
                  <c:v>1.277609741239353</c:v>
                </c:pt>
              </c:numCache>
            </c:numRef>
          </c:val>
          <c:smooth val="0"/>
          <c:extLst>
            <c:ext xmlns:c16="http://schemas.microsoft.com/office/drawing/2014/chart" uri="{C3380CC4-5D6E-409C-BE32-E72D297353CC}">
              <c16:uniqueId val="{00000000-709A-47AD-9740-E3B1C5483D44}"/>
            </c:ext>
          </c:extLst>
        </c:ser>
        <c:ser>
          <c:idx val="1"/>
          <c:order val="1"/>
          <c:tx>
            <c:strRef>
              <c:f>'FootBall Field and Ratios'!$B$19</c:f>
              <c:strCache>
                <c:ptCount val="1"/>
                <c:pt idx="0">
                  <c:v>Net Debt/Equity</c:v>
                </c:pt>
              </c:strCache>
            </c:strRef>
          </c:tx>
          <c:spPr>
            <a:ln w="28575" cap="rnd">
              <a:solidFill>
                <a:srgbClr val="800000"/>
              </a:solidFill>
              <a:round/>
            </a:ln>
            <a:effectLst/>
          </c:spPr>
          <c:marker>
            <c:symbol val="none"/>
          </c:marker>
          <c:val>
            <c:numRef>
              <c:f>'FootBall Field and Ratios'!$C$19:$Q$19</c:f>
              <c:numCache>
                <c:formatCode>0.0\x;\(0.0\x\);"-"</c:formatCode>
                <c:ptCount val="15"/>
                <c:pt idx="0">
                  <c:v>1.3376910699919549</c:v>
                </c:pt>
                <c:pt idx="1">
                  <c:v>1.1504685200960272</c:v>
                </c:pt>
                <c:pt idx="2">
                  <c:v>1.1675400291120814</c:v>
                </c:pt>
                <c:pt idx="3">
                  <c:v>1.2172758986804186</c:v>
                </c:pt>
                <c:pt idx="4">
                  <c:v>0.97887673231218086</c:v>
                </c:pt>
                <c:pt idx="5">
                  <c:v>0.8547476296046852</c:v>
                </c:pt>
                <c:pt idx="6">
                  <c:v>0.83073678289442576</c:v>
                </c:pt>
                <c:pt idx="7">
                  <c:v>0.82583896138976076</c:v>
                </c:pt>
                <c:pt idx="8">
                  <c:v>0.82457052089874516</c:v>
                </c:pt>
                <c:pt idx="9">
                  <c:v>0.82284558403864549</c:v>
                </c:pt>
                <c:pt idx="10">
                  <c:v>0.82145974934915811</c:v>
                </c:pt>
                <c:pt idx="11">
                  <c:v>0.82013191298025478</c:v>
                </c:pt>
                <c:pt idx="12">
                  <c:v>0.81943856983288066</c:v>
                </c:pt>
                <c:pt idx="13">
                  <c:v>0.81781542138721297</c:v>
                </c:pt>
                <c:pt idx="14">
                  <c:v>0.81670395962160192</c:v>
                </c:pt>
              </c:numCache>
            </c:numRef>
          </c:val>
          <c:smooth val="0"/>
          <c:extLst>
            <c:ext xmlns:c16="http://schemas.microsoft.com/office/drawing/2014/chart" uri="{C3380CC4-5D6E-409C-BE32-E72D297353CC}">
              <c16:uniqueId val="{00000001-709A-47AD-9740-E3B1C5483D44}"/>
            </c:ext>
          </c:extLst>
        </c:ser>
        <c:dLbls>
          <c:showLegendKey val="0"/>
          <c:showVal val="0"/>
          <c:showCatName val="0"/>
          <c:showSerName val="0"/>
          <c:showPercent val="0"/>
          <c:showBubbleSize val="0"/>
        </c:dLbls>
        <c:smooth val="0"/>
        <c:axId val="1931378527"/>
        <c:axId val="1862295695"/>
      </c:lineChart>
      <c:catAx>
        <c:axId val="19313785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95695"/>
        <c:crosses val="autoZero"/>
        <c:auto val="1"/>
        <c:lblAlgn val="ctr"/>
        <c:lblOffset val="100"/>
        <c:noMultiLvlLbl val="0"/>
      </c:catAx>
      <c:valAx>
        <c:axId val="1862295695"/>
        <c:scaling>
          <c:orientation val="minMax"/>
        </c:scaling>
        <c:delete val="0"/>
        <c:axPos val="l"/>
        <c:majorGridlines>
          <c:spPr>
            <a:ln w="9525" cap="flat" cmpd="sng" algn="ctr">
              <a:solidFill>
                <a:schemeClr val="tx1">
                  <a:lumMod val="15000"/>
                  <a:lumOff val="85000"/>
                </a:schemeClr>
              </a:solidFill>
              <a:round/>
            </a:ln>
            <a:effectLst/>
          </c:spPr>
        </c:majorGridlines>
        <c:numFmt formatCode="0.0\x;\(0.0\x\);&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78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'FootBall Field and Ratios'!$B$9</c:f>
          <c:strCache>
            <c:ptCount val="1"/>
            <c:pt idx="0">
              <c:v>Return Ratios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'FootBall Field and Ratios'!$B$10</c:f>
              <c:strCache>
                <c:ptCount val="1"/>
                <c:pt idx="0">
                  <c:v>ROE</c:v>
                </c:pt>
              </c:strCache>
            </c:strRef>
          </c:tx>
          <c:spPr>
            <a:ln w="28575" cap="rnd">
              <a:solidFill>
                <a:srgbClr val="800000"/>
              </a:solidFill>
              <a:round/>
            </a:ln>
            <a:effectLst/>
          </c:spPr>
          <c:marker>
            <c:symbol val="none"/>
          </c:marker>
          <c:val>
            <c:numRef>
              <c:f>'FootBall Field and Ratios'!$C$10:$Q$10</c:f>
              <c:numCache>
                <c:formatCode>0.0%;\(0.0%\);"-"</c:formatCode>
                <c:ptCount val="15"/>
                <c:pt idx="0">
                  <c:v>0.42484455845906344</c:v>
                </c:pt>
                <c:pt idx="1">
                  <c:v>0.39585148309479362</c:v>
                </c:pt>
                <c:pt idx="2">
                  <c:v>0.41301414748853166</c:v>
                </c:pt>
                <c:pt idx="3">
                  <c:v>0.42770357257804958</c:v>
                </c:pt>
                <c:pt idx="4">
                  <c:v>0.40744194721626409</c:v>
                </c:pt>
                <c:pt idx="5">
                  <c:v>0.29831104964751559</c:v>
                </c:pt>
                <c:pt idx="6">
                  <c:v>0.30244971418463584</c:v>
                </c:pt>
                <c:pt idx="7">
                  <c:v>0.31927027013572307</c:v>
                </c:pt>
                <c:pt idx="8">
                  <c:v>0.33470741352912176</c:v>
                </c:pt>
                <c:pt idx="9">
                  <c:v>0.35522345761032204</c:v>
                </c:pt>
                <c:pt idx="10">
                  <c:v>0.37780482680682959</c:v>
                </c:pt>
                <c:pt idx="11">
                  <c:v>0.40160612200814905</c:v>
                </c:pt>
                <c:pt idx="12">
                  <c:v>0.42785349218389568</c:v>
                </c:pt>
                <c:pt idx="13">
                  <c:v>0.45346326948748183</c:v>
                </c:pt>
                <c:pt idx="14">
                  <c:v>0.48135473172380988</c:v>
                </c:pt>
              </c:numCache>
            </c:numRef>
          </c:val>
          <c:smooth val="0"/>
          <c:extLst>
            <c:ext xmlns:c16="http://schemas.microsoft.com/office/drawing/2014/chart" uri="{C3380CC4-5D6E-409C-BE32-E72D297353CC}">
              <c16:uniqueId val="{00000000-D507-4379-8D9F-E50603220FDA}"/>
            </c:ext>
          </c:extLst>
        </c:ser>
        <c:ser>
          <c:idx val="1"/>
          <c:order val="1"/>
          <c:tx>
            <c:strRef>
              <c:f>'FootBall Field and Ratios'!$B$11</c:f>
              <c:strCache>
                <c:ptCount val="1"/>
                <c:pt idx="0">
                  <c:v>ROIC</c:v>
                </c:pt>
              </c:strCache>
            </c:strRef>
          </c:tx>
          <c:spPr>
            <a:ln w="28575" cap="rnd">
              <a:solidFill>
                <a:srgbClr val="FF7C80"/>
              </a:solidFill>
              <a:round/>
            </a:ln>
            <a:effectLst/>
          </c:spPr>
          <c:marker>
            <c:symbol val="none"/>
          </c:marker>
          <c:val>
            <c:numRef>
              <c:f>'FootBall Field and Ratios'!$C$11:$Q$11</c:f>
              <c:numCache>
                <c:formatCode>0.0%;\(0.0%\);"-"</c:formatCode>
                <c:ptCount val="15"/>
                <c:pt idx="0">
                  <c:v>0.14080402461483177</c:v>
                </c:pt>
                <c:pt idx="1">
                  <c:v>0.14744501290631715</c:v>
                </c:pt>
                <c:pt idx="2">
                  <c:v>0.14376696531535529</c:v>
                </c:pt>
                <c:pt idx="3">
                  <c:v>0.11401045615365177</c:v>
                </c:pt>
                <c:pt idx="4">
                  <c:v>0.15812333449974431</c:v>
                </c:pt>
                <c:pt idx="5">
                  <c:v>0.14202768477074112</c:v>
                </c:pt>
                <c:pt idx="6">
                  <c:v>0.14592365622235118</c:v>
                </c:pt>
                <c:pt idx="7">
                  <c:v>0.15368344880722706</c:v>
                </c:pt>
                <c:pt idx="8">
                  <c:v>0.16061678927819559</c:v>
                </c:pt>
                <c:pt idx="9">
                  <c:v>0.169885709104209</c:v>
                </c:pt>
                <c:pt idx="10">
                  <c:v>0.18002539800713988</c:v>
                </c:pt>
                <c:pt idx="11">
                  <c:v>0.19067299134841723</c:v>
                </c:pt>
                <c:pt idx="12">
                  <c:v>0.20230599246418066</c:v>
                </c:pt>
                <c:pt idx="13">
                  <c:v>0.21370551143097299</c:v>
                </c:pt>
                <c:pt idx="14">
                  <c:v>0.22600837756428496</c:v>
                </c:pt>
              </c:numCache>
            </c:numRef>
          </c:val>
          <c:smooth val="0"/>
          <c:extLst>
            <c:ext xmlns:c16="http://schemas.microsoft.com/office/drawing/2014/chart" uri="{C3380CC4-5D6E-409C-BE32-E72D297353CC}">
              <c16:uniqueId val="{00000001-D507-4379-8D9F-E50603220FDA}"/>
            </c:ext>
          </c:extLst>
        </c:ser>
        <c:ser>
          <c:idx val="2"/>
          <c:order val="2"/>
          <c:tx>
            <c:strRef>
              <c:f>'FootBall Field and Ratios'!$B$12</c:f>
              <c:strCache>
                <c:ptCount val="1"/>
                <c:pt idx="0">
                  <c:v>ROCE</c:v>
                </c:pt>
              </c:strCache>
            </c:strRef>
          </c:tx>
          <c:spPr>
            <a:ln w="28575" cap="rnd">
              <a:solidFill>
                <a:srgbClr val="CC3300"/>
              </a:solidFill>
              <a:round/>
            </a:ln>
            <a:effectLst/>
          </c:spPr>
          <c:marker>
            <c:symbol val="none"/>
          </c:marker>
          <c:val>
            <c:numRef>
              <c:f>'FootBall Field and Ratios'!$C$12:$Q$12</c:f>
              <c:numCache>
                <c:formatCode>0.0%;\(0.0%\);"-"</c:formatCode>
                <c:ptCount val="15"/>
                <c:pt idx="0">
                  <c:v>0.14930648889844633</c:v>
                </c:pt>
                <c:pt idx="1">
                  <c:v>0.17251057654129986</c:v>
                </c:pt>
                <c:pt idx="2">
                  <c:v>0.17989532185830681</c:v>
                </c:pt>
                <c:pt idx="3">
                  <c:v>0.14139442231075697</c:v>
                </c:pt>
                <c:pt idx="4">
                  <c:v>0.17136529598371941</c:v>
                </c:pt>
                <c:pt idx="5">
                  <c:v>0.16063140993468245</c:v>
                </c:pt>
                <c:pt idx="6">
                  <c:v>0.16469379775949897</c:v>
                </c:pt>
                <c:pt idx="7">
                  <c:v>0.17341417266031064</c:v>
                </c:pt>
                <c:pt idx="8">
                  <c:v>0.18119641097331649</c:v>
                </c:pt>
                <c:pt idx="9">
                  <c:v>0.19158314681760921</c:v>
                </c:pt>
                <c:pt idx="10">
                  <c:v>0.20295263600496719</c:v>
                </c:pt>
                <c:pt idx="11">
                  <c:v>0.21490734101493783</c:v>
                </c:pt>
                <c:pt idx="12">
                  <c:v>0.22797498653309045</c:v>
                </c:pt>
                <c:pt idx="13">
                  <c:v>0.24081827158521377</c:v>
                </c:pt>
                <c:pt idx="14">
                  <c:v>0.25468952055423272</c:v>
                </c:pt>
              </c:numCache>
            </c:numRef>
          </c:val>
          <c:smooth val="0"/>
          <c:extLst>
            <c:ext xmlns:c16="http://schemas.microsoft.com/office/drawing/2014/chart" uri="{C3380CC4-5D6E-409C-BE32-E72D297353CC}">
              <c16:uniqueId val="{00000002-D507-4379-8D9F-E50603220FDA}"/>
            </c:ext>
          </c:extLst>
        </c:ser>
        <c:ser>
          <c:idx val="3"/>
          <c:order val="3"/>
          <c:tx>
            <c:strRef>
              <c:f>'FootBall Field and Ratios'!$B$13</c:f>
              <c:strCache>
                <c:ptCount val="1"/>
                <c:pt idx="0">
                  <c:v>ROA</c:v>
                </c:pt>
              </c:strCache>
            </c:strRef>
          </c:tx>
          <c:spPr>
            <a:ln w="28575" cap="rnd">
              <a:solidFill>
                <a:srgbClr val="990033"/>
              </a:solidFill>
              <a:round/>
            </a:ln>
            <a:effectLst/>
          </c:spPr>
          <c:marker>
            <c:symbol val="none"/>
          </c:marker>
          <c:val>
            <c:numRef>
              <c:f>'FootBall Field and Ratios'!$C$13:$Q$13</c:f>
              <c:numCache>
                <c:formatCode>0.0%;\(0.0%\);"-"</c:formatCode>
                <c:ptCount val="15"/>
                <c:pt idx="0">
                  <c:v>0.10390656463954893</c:v>
                </c:pt>
                <c:pt idx="1">
                  <c:v>0.10317691320893028</c:v>
                </c:pt>
                <c:pt idx="2">
                  <c:v>0.10954627800579307</c:v>
                </c:pt>
                <c:pt idx="3">
                  <c:v>0.10590856199464938</c:v>
                </c:pt>
                <c:pt idx="4">
                  <c:v>0.12533391848572736</c:v>
                </c:pt>
                <c:pt idx="5">
                  <c:v>9.8978011018825085E-2</c:v>
                </c:pt>
                <c:pt idx="6">
                  <c:v>0.1015513318323772</c:v>
                </c:pt>
                <c:pt idx="7">
                  <c:v>0.10684262389898752</c:v>
                </c:pt>
                <c:pt idx="8">
                  <c:v>0.11126964391712153</c:v>
                </c:pt>
                <c:pt idx="9">
                  <c:v>0.11738071044055592</c:v>
                </c:pt>
                <c:pt idx="10">
                  <c:v>0.12400324377928729</c:v>
                </c:pt>
                <c:pt idx="11">
                  <c:v>0.13088428876978217</c:v>
                </c:pt>
                <c:pt idx="12">
                  <c:v>0.13829437993193619</c:v>
                </c:pt>
                <c:pt idx="13">
                  <c:v>0.14551637700370992</c:v>
                </c:pt>
                <c:pt idx="14">
                  <c:v>0.1532052515929907</c:v>
                </c:pt>
              </c:numCache>
            </c:numRef>
          </c:val>
          <c:smooth val="0"/>
          <c:extLst>
            <c:ext xmlns:c16="http://schemas.microsoft.com/office/drawing/2014/chart" uri="{C3380CC4-5D6E-409C-BE32-E72D297353CC}">
              <c16:uniqueId val="{00000003-D507-4379-8D9F-E50603220FDA}"/>
            </c:ext>
          </c:extLst>
        </c:ser>
        <c:dLbls>
          <c:showLegendKey val="0"/>
          <c:showVal val="0"/>
          <c:showCatName val="0"/>
          <c:showSerName val="0"/>
          <c:showPercent val="0"/>
          <c:showBubbleSize val="0"/>
        </c:dLbls>
        <c:smooth val="0"/>
        <c:axId val="1930371455"/>
        <c:axId val="1862313455"/>
      </c:lineChart>
      <c:catAx>
        <c:axId val="19303714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13455"/>
        <c:crosses val="autoZero"/>
        <c:auto val="1"/>
        <c:lblAlgn val="ctr"/>
        <c:lblOffset val="100"/>
        <c:noMultiLvlLbl val="0"/>
      </c:catAx>
      <c:valAx>
        <c:axId val="1862313455"/>
        <c:scaling>
          <c:orientation val="minMax"/>
        </c:scaling>
        <c:delete val="0"/>
        <c:axPos val="l"/>
        <c:majorGridlines>
          <c:spPr>
            <a:ln w="9525" cap="flat" cmpd="sng" algn="ctr">
              <a:solidFill>
                <a:schemeClr val="tx1">
                  <a:lumMod val="15000"/>
                  <a:lumOff val="85000"/>
                </a:schemeClr>
              </a:solidFill>
              <a:round/>
            </a:ln>
            <a:effectLst/>
          </c:spPr>
        </c:majorGridlines>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37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'FootBall Field and Ratios'!$U$27</c:f>
          <c:strCache>
            <c:ptCount val="1"/>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'FootBall Field and Ratios'!$V$3</c:f>
              <c:strCache>
                <c:ptCount val="1"/>
                <c:pt idx="0">
                  <c:v>Low</c:v>
                </c:pt>
              </c:strCache>
            </c:strRef>
          </c:tx>
          <c:spPr>
            <a:noFill/>
            <a:ln w="25400">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and Ratios'!$U$4:$U$8</c:f>
              <c:strCache>
                <c:ptCount val="5"/>
                <c:pt idx="0">
                  <c:v>DCF – Exit Multiple</c:v>
                </c:pt>
                <c:pt idx="1">
                  <c:v>DCF – Perpetual Growth</c:v>
                </c:pt>
                <c:pt idx="2">
                  <c:v>DDM – Total Payout</c:v>
                </c:pt>
                <c:pt idx="3">
                  <c:v>Trading Comps – P/E</c:v>
                </c:pt>
                <c:pt idx="4">
                  <c:v>Trading Comps – Dividend Yield</c:v>
                </c:pt>
              </c:strCache>
            </c:strRef>
          </c:cat>
          <c:val>
            <c:numRef>
              <c:f>'FootBall Field and Ratios'!$V$4:$V$8</c:f>
              <c:numCache>
                <c:formatCode>"$"#,##0.00;\("$"#,##0.00\);"-"</c:formatCode>
                <c:ptCount val="5"/>
                <c:pt idx="0">
                  <c:v>85.36868961437915</c:v>
                </c:pt>
                <c:pt idx="1">
                  <c:v>74.615041977254563</c:v>
                </c:pt>
                <c:pt idx="2">
                  <c:v>69.881142967913078</c:v>
                </c:pt>
                <c:pt idx="3">
                  <c:v>43.372445558293911</c:v>
                </c:pt>
                <c:pt idx="4">
                  <c:v>54.9204794008796</c:v>
                </c:pt>
              </c:numCache>
            </c:numRef>
          </c:val>
          <c:extLst>
            <c:ext xmlns:c16="http://schemas.microsoft.com/office/drawing/2014/chart" uri="{C3380CC4-5D6E-409C-BE32-E72D297353CC}">
              <c16:uniqueId val="{00000000-BFEF-4B25-93E4-44BBC281EBEC}"/>
            </c:ext>
          </c:extLst>
        </c:ser>
        <c:ser>
          <c:idx val="1"/>
          <c:order val="1"/>
          <c:tx>
            <c:v>Spread</c:v>
          </c:tx>
          <c:spPr>
            <a:solidFill>
              <a:srgbClr val="800000"/>
            </a:solidFill>
            <a:ln>
              <a:noFill/>
            </a:ln>
            <a:effectLst/>
          </c:spPr>
          <c:invertIfNegative val="0"/>
          <c:dLbls>
            <c:dLbl>
              <c:idx val="0"/>
              <c:tx>
                <c:strRef>
                  <c:f>'FootBall Field and Ratios'!$X$4</c:f>
                  <c:strCache>
                    <c:ptCount val="1"/>
                    <c:pt idx="0">
                      <c:v>$99.40</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{610250A7-7520-47CB-894C-E8DD8AB9591F}</c15:txfldGUID>
                      <c15:f>'FootBall Field and Ratios'!$X$4</c15:f>
                      <c15:dlblFieldTableCache>
                        <c:ptCount val="1"/>
                        <c:pt idx="0">
                          <c:v>$99.40</c:v>
                        </c:pt>
                      </c15:dlblFieldTableCache>
                    </c15:dlblFTEntry>
                  </c15:dlblFieldTable>
                  <c15:showDataLabelsRange val="0"/>
                </c:ext>
                <c:ext xmlns:c16="http://schemas.microsoft.com/office/drawing/2014/chart" uri="{C3380CC4-5D6E-409C-BE32-E72D297353CC}">
                  <c16:uniqueId val="{00000002-BFEF-4B25-93E4-44BBC281EBEC}"/>
                </c:ext>
              </c:extLst>
            </c:dLbl>
            <c:dLbl>
              <c:idx val="1"/>
              <c:tx>
                <c:strRef>
                  <c:f>'FootBall Field and Ratios'!$X$5</c:f>
                  <c:strCache>
                    <c:ptCount val="1"/>
                    <c:pt idx="0">
                      <c:v>$108.69</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{DC31E4D2-EDA7-4CAB-BF4B-3DE1DDAA02A3}</c15:txfldGUID>
                      <c15:f>'FootBall Field and Ratios'!$X$5</c15:f>
                      <c15:dlblFieldTableCache>
                        <c:ptCount val="1"/>
                        <c:pt idx="0">
                          <c:v>$108.69</c:v>
                        </c:pt>
                      </c15:dlblFieldTableCache>
                    </c15:dlblFTEntry>
                  </c15:dlblFieldTable>
                  <c15:showDataLabelsRange val="0"/>
                </c:ext>
                <c:ext xmlns:c16="http://schemas.microsoft.com/office/drawing/2014/chart" uri="{C3380CC4-5D6E-409C-BE32-E72D297353CC}">
                  <c16:uniqueId val="{00000003-BFEF-4B25-93E4-44BBC281EBEC}"/>
                </c:ext>
              </c:extLst>
            </c:dLbl>
            <c:dLbl>
              <c:idx val="2"/>
              <c:tx>
                <c:strRef>
                  <c:f>'FootBall Field and Ratios'!$X$6</c:f>
                  <c:strCache>
                    <c:ptCount val="1"/>
                    <c:pt idx="0">
                      <c:v>$101.79</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{54BD74E5-E0AB-40E1-B504-86C0E845D685}</c15:txfldGUID>
                      <c15:f>'FootBall Field and Ratios'!$X$6</c15:f>
                      <c15:dlblFieldTableCache>
                        <c:ptCount val="1"/>
                        <c:pt idx="0">
                          <c:v>$101.79</c:v>
                        </c:pt>
                      </c15:dlblFieldTableCache>
                    </c15:dlblFTEntry>
                  </c15:dlblFieldTable>
                  <c15:showDataLabelsRange val="0"/>
                </c:ext>
                <c:ext xmlns:c16="http://schemas.microsoft.com/office/drawing/2014/chart" uri="{C3380CC4-5D6E-409C-BE32-E72D297353CC}">
                  <c16:uniqueId val="{00000004-BFEF-4B25-93E4-44BBC281EBEC}"/>
                </c:ext>
              </c:extLst>
            </c:dLbl>
            <c:dLbl>
              <c:idx val="3"/>
              <c:tx>
                <c:strRef>
                  <c:f>'FootBall Field and Ratios'!$X$7</c:f>
                  <c:strCache>
                    <c:ptCount val="1"/>
                    <c:pt idx="0">
                      <c:v>$63.16</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{AABC90DF-95AB-41D5-8DB5-0EE2B591E401}</c15:txfldGUID>
                      <c15:f>'FootBall Field and Ratios'!$X$7</c15:f>
                      <c15:dlblFieldTableCache>
                        <c:ptCount val="1"/>
                        <c:pt idx="0">
                          <c:v>$63.16</c:v>
                        </c:pt>
                      </c15:dlblFieldTableCache>
                    </c15:dlblFTEntry>
                  </c15:dlblFieldTable>
                  <c15:showDataLabelsRange val="0"/>
                </c:ext>
                <c:ext xmlns:c16="http://schemas.microsoft.com/office/drawing/2014/chart" uri="{C3380CC4-5D6E-409C-BE32-E72D297353CC}">
                  <c16:uniqueId val="{00000005-BFEF-4B25-93E4-44BBC281EBEC}"/>
                </c:ext>
              </c:extLst>
            </c:dLbl>
            <c:dLbl>
              <c:idx val="4"/>
              <c:tx>
                <c:strRef>
                  <c:f>'FootBall Field and Ratios'!$X$8</c:f>
                  <c:strCache>
                    <c:ptCount val="1"/>
                    <c:pt idx="0">
                      <c:v>$75.65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{E3F2D65A-869C-46B4-BDB0-90C22E06CB3F}</c15:txfldGUID>
                      <c15:f>'FootBall Field and Ratios'!$X$8</c15:f>
                      <c15:dlblFieldTableCache>
                        <c:ptCount val="1"/>
                        <c:pt idx="0">
                          <c:v>$75.65</c:v>
                        </c:pt>
                      </c15:dlblFieldTableCache>
                    </c15:dlblFTEntry>
                  </c15:dlblFieldTable>
                  <c15:showDataLabelsRange val="0"/>
                </c:ext>
                <c:ext xmlns:c16="http://schemas.microsoft.com/office/drawing/2014/chart" uri="{C3380CC4-5D6E-409C-BE32-E72D297353CC}">
                  <c16:uniqueId val="{00000006-BFEF-4B25-93E4-44BBC281EB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'FootBall Field and Ratios'!$Y$4:$Y$8</c:f>
              <c:numCache>
                <c:formatCode>"$"#,##0.00;\("$"#,##0.00\);"-"</c:formatCode>
                <c:ptCount val="5"/>
                <c:pt idx="0">
                  <c:v>14.02918046477626</c:v>
                </c:pt>
                <c:pt idx="1">
                  <c:v>34.070107227739939</c:v>
                </c:pt>
                <c:pt idx="2">
                  <c:v>31.909496290067565</c:v>
                </c:pt>
                <c:pt idx="3">
                  <c:v>19.782778463439634</c:v>
                </c:pt>
                <c:pt idx="4">
                  <c:v>20.733455730956891</c:v>
                </c:pt>
              </c:numCache>
            </c:numRef>
          </c:val>
          <c:extLst>
            <c:ext xmlns:c16="http://schemas.microsoft.com/office/drawing/2014/chart" uri="{C3380CC4-5D6E-409C-BE32-E72D297353CC}">
              <c16:uniqueId val="{00000001-BFEF-4B25-93E4-44BBC281EBEC}"/>
            </c:ext>
          </c:extLst>
        </c:ser>
        <c:dLbls>
          <c:showLegendKey val="0"/>
          <c:showVal val="0"/>
          <c:showCatName val="0"/>
          <c:showSerName val="0"/>
          <c:showPercent val="0"/>
          <c:showBubbleSize val="0"/>
        </c:dLbls>
        <c:gapWidth val="60"/>
        <c:overlap val="100"/>
        <c:axId val="1767411247"/>
        <c:axId val="837088047"/>
      </c:barChart>
      <c:catAx>
        <c:axId val="17674112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88047"/>
        <c:crosses val="autoZero"/>
        <c:auto val="1"/>
        <c:lblAlgn val="ctr"/>
        <c:lblOffset val="100"/>
        <c:noMultiLvlLbl val="0"/>
      </c:catAx>
      <c:valAx>
        <c:axId val="837088047"/>
        <c:scaling>
          <c:orientation val="minMax"/>
          <c:max val="120"/>
          <c:min val="30"/>
        </c:scaling>
        <c:delete val="0"/>
        <c:axPos val="t"/>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11247"/>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txData>
          <cx:v>Implied Share Price - Exit Multiple</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libri" panose="020F0502020204030204"/>
            </a:rPr>
            <a:t>Implied Share Price - Exit Multiple</a:t>
          </a:r>
        </a:p>
      </cx:txPr>
    </cx:title>
    <cx:plotArea>
      <cx:plotAreaRegion>
        <cx:series layoutId="waterfall" uniqueId="{00000000-4B4B-4457-992C-92F77CE61750}">
          <cx:dataPt idx="0">
            <cx:spPr>
              <a:solidFill>
                <a:srgbClr val="C00000"/>
              </a:solidFill>
            </cx:spPr>
          </cx:dataPt>
          <cx:dataPt idx="1">
            <cx:spPr>
              <a:solidFill>
                <a:srgbClr val="000000"/>
              </a:solidFill>
            </cx:spPr>
          </cx:dataPt>
          <cx:dataPt idx="2">
            <cx:spPr>
              <a:solidFill>
                <a:srgbClr val="800000"/>
              </a:solidFill>
            </cx:spPr>
          </cx:dataPt>
          <cx:dataLabels>
            <cx:visibility seriesName="0" categoryName="0" value="1"/>
          </cx:dataLabels>
          <cx:dataId val="0"/>
          <cx:layoutPr>
            <cx:subtotals>
              <cx:idx val="2"/>
            </cx:subtotals>
          </cx:layoutPr>
        </cx:series>
      </cx:plotAreaRegion>
      <cx:axis id="0">
        <cx:catScaling gapWidth="0.5"/>
        <cx:tickLabels/>
      </cx:axis>
      <cx:axis id="1">
        <cx:valScaling/>
        <cx:majorGridlines/>
        <cx:tickLabels/>
      </cx:axis>
    </cx:plotArea>
  </cx:chart>
  <cx:spPr>
    <a:ln>
      <a:solidFill>
        <a:sysClr val="windowText" lastClr="00000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f>_xlchart.v1.3</cx:f>
          <cx:v>Implied Share Price - Perpetual Growth</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libri" panose="020F0502020204030204"/>
            </a:rPr>
            <a:t>Implied Share Price - Perpetual Growth</a:t>
          </a:r>
        </a:p>
      </cx:txPr>
    </cx:title>
    <cx:plotArea>
      <cx:plotAreaRegion>
        <cx:series layoutId="waterfall" uniqueId="{00000000-BBF3-4CB7-9DB1-CCDFA2FDF29E}">
          <cx:dataPt idx="0">
            <cx:spPr>
              <a:solidFill>
                <a:srgbClr val="C00000"/>
              </a:solidFill>
            </cx:spPr>
          </cx:dataPt>
          <cx:dataPt idx="1">
            <cx:spPr>
              <a:solidFill>
                <a:srgbClr val="000000"/>
              </a:solidFill>
            </cx:spPr>
          </cx:dataPt>
          <cx:dataPt idx="2">
            <cx:spPr>
              <a:solidFill>
                <a:srgbClr val="800000"/>
              </a:solidFill>
            </cx:spPr>
          </cx:dataPt>
          <cx:dataLabels pos="outEnd">
            <cx:visibility seriesName="0" categoryName="0" value="1"/>
          </cx:dataLabels>
          <cx:dataId val="0"/>
          <cx:layoutPr>
            <cx:subtotals>
              <cx:idx val="2"/>
            </cx:subtotals>
          </cx:layoutPr>
        </cx:series>
      </cx:plotAreaRegion>
      <cx:axis id="0">
        <cx:catScaling gapWidth="0.5"/>
        <cx:tickLabels/>
      </cx:axis>
      <cx:axis id="1">
        <cx:valScaling/>
        <cx:majorGridlines/>
        <cx:tickLabels/>
      </cx:axis>
    </cx:plotArea>
  </cx:chart>
  <cx:spPr>
    <a:ln>
      <a:solidFill>
        <a:sysClr val="windowText" lastClr="000000"/>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_xlchart.v1.2</cx:f>
      </cx:numDim>
    </cx:data>
  </cx:chartData>
  <cx:chart>
    <cx:title pos="t" align="ctr" overlay="0">
      <cx:tx>
        <cx:txData>
          <cx:f>_xlchart.v1.0</cx:f>
          <cx:v>Implied Share Price - DDM Total Payout</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libri" panose="020F0502020204030204"/>
            </a:rPr>
            <a:t>Implied Share Price - DDM Total Payout</a:t>
          </a:r>
        </a:p>
      </cx:txPr>
    </cx:title>
    <cx:plotArea>
      <cx:plotAreaRegion>
        <cx:series layoutId="waterfall" uniqueId="{00000000-411B-41FD-958F-E65082B040D4}">
          <cx:dataPt idx="0">
            <cx:spPr>
              <a:solidFill>
                <a:srgbClr val="C00000"/>
              </a:solidFill>
            </cx:spPr>
          </cx:dataPt>
          <cx:dataPt idx="1">
            <cx:spPr>
              <a:solidFill>
                <a:srgbClr val="000000"/>
              </a:solidFill>
            </cx:spPr>
          </cx:dataPt>
          <cx:dataPt idx="2">
            <cx:spPr>
              <a:solidFill>
                <a:srgbClr val="800000"/>
              </a:solidFill>
            </cx:spPr>
          </cx:dataPt>
          <cx:dataLabels pos="outEnd">
            <cx:visibility seriesName="0" categoryName="0" value="1"/>
          </cx:dataLabels>
          <cx:dataId val="0"/>
          <cx:layoutPr>
            <cx:subtotals>
              <cx:idx val="2"/>
            </cx:subtotals>
          </cx:layoutPr>
        </cx:series>
      </cx:plotAreaRegion>
      <cx:axis id="0">
        <cx:catScaling gapWidth="0.5"/>
        <cx:tickLabels/>
      </cx:axis>
      <cx:axis id="1">
        <cx:valScaling/>
        <cx:majorGridlines/>
        <cx:tickLabels/>
      </cx:axis>
    </cx:plotArea>
  </cx:chart>
  <cx:spPr>
    <a:ln>
      <a:solidFill>
        <a:sysClr val="windowText" lastClr="00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606240</xdr:colOff>
      <xdr:row>0</xdr:row>
      <xdr:rowOff>181800</xdr:rowOff>
    </xdr:from>
    <xdr:to>
      <xdr:col>15</xdr:col>
      <xdr:colOff>556560</xdr:colOff>
      <xdr:row>7</xdr:row>
      <xdr:rowOff>18000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32905" b="33449"/>
        <a:stretch/>
      </xdr:blipFill>
      <xdr:spPr>
        <a:xfrm>
          <a:off x="6109920" y="181800"/>
          <a:ext cx="3619080" cy="1217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876300</xdr:colOff>
      <xdr:row>39</xdr:row>
      <xdr:rowOff>180975</xdr:rowOff>
    </xdr:from>
    <xdr:to>
      <xdr:col>9</xdr:col>
      <xdr:colOff>295275</xdr:colOff>
      <xdr:row>54</xdr:row>
      <xdr:rowOff>66675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E4D224E-1309-D09F-255C-4F4490F1D4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91250" y="76104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466725</xdr:colOff>
      <xdr:row>39</xdr:row>
      <xdr:rowOff>161925</xdr:rowOff>
    </xdr:from>
    <xdr:to>
      <xdr:col>13</xdr:col>
      <xdr:colOff>771525</xdr:colOff>
      <xdr:row>54</xdr:row>
      <xdr:rowOff>47625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C77018B-E214-94E6-4A6A-B620A4C128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934700" y="75914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19050</xdr:colOff>
      <xdr:row>40</xdr:row>
      <xdr:rowOff>0</xdr:rowOff>
    </xdr:from>
    <xdr:to>
      <xdr:col>18</xdr:col>
      <xdr:colOff>485775</xdr:colOff>
      <xdr:row>54</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034B22C-0643-D163-5F7E-6F1174C72F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821025" y="76200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242887</xdr:colOff>
      <xdr:row>37</xdr:row>
      <xdr:rowOff>180975</xdr:rowOff>
    </xdr:from>
    <xdr:to>
      <xdr:col>5</xdr:col>
      <xdr:colOff>252412</xdr:colOff>
      <xdr:row>52</xdr:row>
      <xdr:rowOff>66675</xdr:rowOff>
    </xdr:to>
    <xdr:graphicFrame macro="">
      <xdr:nvGraphicFramePr>
        <xdr:cNvPr id="2" name="Chart 1">
          <a:extLst>
            <a:ext uri="{FF2B5EF4-FFF2-40B4-BE49-F238E27FC236}">
              <a16:creationId xmlns:a16="http://schemas.microsoft.com/office/drawing/2014/main" id="{6ADC7755-573B-11BE-4714-862F792E4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652462</xdr:colOff>
      <xdr:row>37</xdr:row>
      <xdr:rowOff>180975</xdr:rowOff>
    </xdr:from>
    <xdr:to>
      <xdr:col>17</xdr:col>
      <xdr:colOff>309562</xdr:colOff>
      <xdr:row>52</xdr:row>
      <xdr:rowOff>66675</xdr:rowOff>
    </xdr:to>
    <xdr:graphicFrame macro="">
      <xdr:nvGraphicFramePr>
        <xdr:cNvPr id="3" name="Chart 2">
          <a:extLst>
            <a:ext uri="{FF2B5EF4-FFF2-40B4-BE49-F238E27FC236}">
              <a16:creationId xmlns:a16="http://schemas.microsoft.com/office/drawing/2014/main" id="{73ED42EF-EDE6-550F-7EF5-230E6859B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576262</xdr:colOff>
      <xdr:row>38</xdr:row>
      <xdr:rowOff>9525</xdr:rowOff>
    </xdr:from>
    <xdr:to>
      <xdr:col>11</xdr:col>
      <xdr:colOff>233362</xdr:colOff>
      <xdr:row>52</xdr:row>
      <xdr:rowOff>85725</xdr:rowOff>
    </xdr:to>
    <xdr:graphicFrame macro="">
      <xdr:nvGraphicFramePr>
        <xdr:cNvPr id="5" name="Chart 4">
          <a:extLst>
            <a:ext uri="{FF2B5EF4-FFF2-40B4-BE49-F238E27FC236}">
              <a16:creationId xmlns:a16="http://schemas.microsoft.com/office/drawing/2014/main" id="{1A1220E5-3B71-F12C-F6A4-6541C66F4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50800</xdr:rowOff>
    </xdr:from>
    <xdr:to>
      <xdr:col>26</xdr:col>
      <xdr:colOff>901700</xdr:colOff>
      <xdr:row>47</xdr:row>
      <xdr:rowOff>50800</xdr:rowOff>
    </xdr:to>
    <xdr:graphicFrame macro="">
      <xdr:nvGraphicFramePr>
        <xdr:cNvPr id="4" name="Football Field">
          <a:extLst>
            <a:ext uri="{FF2B5EF4-FFF2-40B4-BE49-F238E27FC236}">
              <a16:creationId xmlns:a16="http://schemas.microsoft.com/office/drawing/2014/main" id="{0CBE0938-ED2F-8BCA-9CB5-30C60F11D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0</xdr:colOff>
      <xdr:row>1</xdr:row>
      <xdr:rowOff>0</xdr:rowOff>
    </xdr:from>
    <xdr:to>
      <xdr:col>25</xdr:col>
      <xdr:colOff>362880</xdr:colOff>
      <xdr:row>27</xdr:row>
      <xdr:rowOff>105120</xdr:rowOff>
    </xdr:to>
    <xdr:pic>
      <xdr:nvPicPr>
        <xdr:cNvPr id="2" name="Imagen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tretch/>
      </xdr:blipFill>
      <xdr:spPr>
        <a:xfrm>
          <a:off x="10467360" y="190440"/>
          <a:ext cx="10024920" cy="5124960"/>
        </a:xfrm>
        <a:prstGeom prst="rect">
          <a:avLst/>
        </a:prstGeom>
        <a:ln w="0">
          <a:noFill/>
        </a:ln>
      </xdr:spPr>
    </xdr:pic>
    <xdr:clientData/>
  </xdr:twoCellAnchor>
  <xdr:twoCellAnchor editAs="oneCell">
    <xdr:from>
      <xdr:col>13</xdr:col>
      <xdr:colOff>0</xdr:colOff>
      <xdr:row>29</xdr:row>
      <xdr:rowOff>0</xdr:rowOff>
    </xdr:from>
    <xdr:to>
      <xdr:col>23</xdr:col>
      <xdr:colOff>29160</xdr:colOff>
      <xdr:row>58</xdr:row>
      <xdr:rowOff>10080</xdr:rowOff>
    </xdr:to>
    <xdr:pic>
      <xdr:nvPicPr>
        <xdr:cNvPr id="3" name="Imagen 2">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a:stretch/>
      </xdr:blipFill>
      <xdr:spPr>
        <a:xfrm>
          <a:off x="10467360" y="5591160"/>
          <a:ext cx="8080920" cy="5534640"/>
        </a:xfrm>
        <a:prstGeom prst="rect">
          <a:avLst/>
        </a:prstGeom>
        <a:ln w="0">
          <a:noFill/>
        </a:ln>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https://www.bing.com/financeapi/forcetrigger?t=a1wljc&amp;q=XNYS%3aKO&amp;form=skydnc</v>
    <v>Learn more on Bing</v>
  </rv>
  <rv s="1">
    <v>en-US</v>
    <v>a1wljc</v>
    <v>268435456</v>
    <v>1</v>
    <v>Powered by Refinitiv</v>
    <v>0</v>
    <v>THE COCA-COLA COMPANY (XNYS:KO)</v>
    <v>2</v>
    <v>3</v>
    <v>Finance</v>
    <v>4</v>
    <v>95.37</v>
    <v>67.274000000000001</v>
    <v>0.28689999999999999</v>
    <v>-2.63</v>
    <v>2.049E-3</v>
    <v>-2.7585000000000002E-2</v>
    <v>0.19</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95.05</v>
    <v>Beverages</v>
    <v>Stock</v>
    <v>46318.999918622656</v>
    <v>0</v>
    <v>92.64</v>
    <v>398889317790</v>
    <v>THE COCA-COLA COMPANY</v>
    <v>THE COCA-COLA COMPANY</v>
    <v>95.01</v>
    <v>28.721900000000002</v>
    <v>95.34</v>
    <v>92.71</v>
    <v>92.9</v>
    <v>4302549000</v>
    <v>KO</v>
    <v>THE COCA-COLA COMPANY (XNYS:KO)</v>
    <v>18895062</v>
    <v>16546367</v>
    <v>1919</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 dockstate="right" visibility="0" width="359"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C658C0C-80BD-43AE-9FBF-F2E230086F4F}">
  <we:reference id="WA200009404" version="1.0.0.8" store="Omex" storeType="OMEX"/>
  <we:alternateReferences>
    <we:reference id="WA200009404" version="1.0.0.8" store="WA200009404" storeType="OMEX"/>
  </we:alternateReferences>
  <we:properties>
    <we:property name="claude.fileId" value="&quot;aa5579d3-dd48-454b-9cc9-6f208241c02a&quot;"/>
  </we:properties>
  <we:bindings/>
  <we:snapshot xmlns:r="http://schemas.openxmlformats.org/officeDocument/2006/relationships"/>
</we:webextension>
</file>

<file path=xl/webextensions/webextension2.xml><?xml version="1.0" encoding="utf-8"?>
<we:webextension xmlns:we="http://schemas.microsoft.com/office/webextensions/webextension/2010/11" id="{AFF620DD-1BB7-41A1-9FD0-A762D8565C59}">
  <we:reference id="WA200010725" version="1.0.0.1" store="Omex" storeType="OMEX"/>
  <we:alternateReferences>
    <we:reference id="WA200010725" version="1.0.0.1" store="WA200010725" storeType="OMEX"/>
  </we:alternateReferences>
  <we:properties>
    <we:property name="claude.fileId" value="&quot;16c288bd-6d12-44bc-baa5-19a2101710a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
  <sheetViews>
    <sheetView showGridLines="0" zoomScale="110" zoomScaleNormal="110" workbookViewId="0">
      <selection activeCell="V18" sqref="V18"/>
    </sheetView>
  </sheetViews>
  <sheetFormatPr defaultColWidth="8.7109375" defaultRowHeight="15" x14ac:dyDescent="0.25"/>
  <sheetData>
    <row r="1" spans="1:16" x14ac:dyDescent="0.25">
      <c r="A1" s="3"/>
      <c r="B1" s="3"/>
      <c r="C1" s="3"/>
      <c r="D1" s="3"/>
      <c r="E1" s="3"/>
      <c r="F1" s="3"/>
      <c r="G1" s="3"/>
      <c r="H1" s="3"/>
      <c r="I1" s="3"/>
      <c r="J1" s="3"/>
      <c r="K1" s="3"/>
      <c r="L1" s="3"/>
      <c r="M1" s="3"/>
      <c r="N1" s="3"/>
      <c r="O1" s="3"/>
      <c r="P1" s="3"/>
    </row>
    <row r="2" spans="1:16" x14ac:dyDescent="0.25">
      <c r="A2" s="3"/>
      <c r="B2" s="3"/>
      <c r="C2" s="3"/>
      <c r="D2" s="3"/>
      <c r="E2" s="3"/>
      <c r="F2" s="3"/>
      <c r="G2" s="3"/>
      <c r="H2" s="3"/>
      <c r="I2" s="3"/>
      <c r="J2" s="3"/>
      <c r="K2" s="3"/>
      <c r="L2" s="3"/>
      <c r="M2" s="3"/>
      <c r="N2" s="3"/>
      <c r="O2" s="3"/>
      <c r="P2" s="3"/>
    </row>
    <row r="3" spans="1:16" x14ac:dyDescent="0.25">
      <c r="A3" s="3"/>
      <c r="B3" s="4">
        <v>46174</v>
      </c>
      <c r="C3" s="3"/>
      <c r="D3" s="3"/>
      <c r="E3" s="3"/>
      <c r="F3" s="3"/>
      <c r="G3" s="3"/>
      <c r="H3" s="3"/>
      <c r="I3" s="3"/>
      <c r="J3" s="3"/>
      <c r="K3" s="3"/>
      <c r="L3" s="3"/>
      <c r="M3" s="3"/>
      <c r="N3" s="3"/>
      <c r="O3" s="3"/>
      <c r="P3" s="3"/>
    </row>
    <row r="4" spans="1:16" ht="18.75" customHeight="1" x14ac:dyDescent="0.25">
      <c r="A4" s="3"/>
      <c r="B4" s="5" t="s">
        <v>0</v>
      </c>
      <c r="C4" s="3"/>
      <c r="D4" s="3"/>
      <c r="E4" s="3"/>
      <c r="F4" s="3"/>
      <c r="G4" s="3"/>
      <c r="H4" s="3"/>
      <c r="I4" s="3"/>
      <c r="J4" s="3"/>
      <c r="K4" s="3"/>
      <c r="L4" s="3"/>
      <c r="M4" s="3"/>
      <c r="N4" s="3"/>
      <c r="O4" s="3"/>
      <c r="P4" s="3"/>
    </row>
    <row r="5" spans="1:16" x14ac:dyDescent="0.25">
      <c r="A5" s="3"/>
      <c r="B5" s="3"/>
      <c r="C5" s="3"/>
      <c r="D5" s="3"/>
      <c r="E5" s="3"/>
      <c r="F5" s="3"/>
      <c r="G5" s="3"/>
      <c r="H5" s="3"/>
      <c r="I5" s="3"/>
      <c r="J5" s="3"/>
      <c r="K5" s="3"/>
      <c r="L5" s="3"/>
      <c r="M5" s="3"/>
      <c r="N5" s="3"/>
      <c r="O5" s="3"/>
      <c r="P5" s="3"/>
    </row>
    <row r="6" spans="1:16" x14ac:dyDescent="0.25">
      <c r="A6" s="3"/>
      <c r="B6" s="3"/>
      <c r="C6" s="3"/>
      <c r="D6" s="3"/>
      <c r="E6" s="3"/>
      <c r="F6" s="3"/>
      <c r="G6" s="3"/>
      <c r="H6" s="3"/>
      <c r="I6" s="3"/>
      <c r="J6" s="3"/>
      <c r="K6" s="3"/>
      <c r="L6" s="3"/>
      <c r="M6" s="3"/>
      <c r="N6" s="3"/>
      <c r="O6" s="3"/>
      <c r="P6" s="3"/>
    </row>
    <row r="7" spans="1:16" x14ac:dyDescent="0.25">
      <c r="A7" s="3"/>
      <c r="B7" s="6" t="s">
        <v>1</v>
      </c>
      <c r="C7" s="3"/>
      <c r="D7" s="3"/>
      <c r="E7" s="3"/>
      <c r="F7" s="3"/>
      <c r="G7" s="3"/>
      <c r="H7" s="3"/>
      <c r="I7" s="3"/>
      <c r="J7" s="3"/>
      <c r="K7" s="3"/>
      <c r="L7" s="3"/>
      <c r="M7" s="3"/>
      <c r="N7" s="3"/>
      <c r="O7" s="3"/>
      <c r="P7" s="3"/>
    </row>
    <row r="8" spans="1:16" x14ac:dyDescent="0.25">
      <c r="A8" s="3"/>
      <c r="B8" s="7" t="s">
        <v>2</v>
      </c>
      <c r="C8" s="3"/>
      <c r="D8" s="3"/>
      <c r="E8" s="3"/>
      <c r="F8" s="3"/>
      <c r="G8" s="3"/>
      <c r="H8" s="3"/>
      <c r="I8" s="3"/>
      <c r="J8" s="3"/>
      <c r="K8" s="3"/>
      <c r="L8" s="3"/>
      <c r="M8" s="3"/>
      <c r="N8" s="3"/>
      <c r="O8" s="3"/>
      <c r="P8" s="3"/>
    </row>
    <row r="9" spans="1:16" x14ac:dyDescent="0.25">
      <c r="A9" s="3"/>
      <c r="B9" s="7" t="s">
        <v>3</v>
      </c>
      <c r="C9" s="3"/>
      <c r="D9" s="3"/>
      <c r="E9" s="3"/>
      <c r="F9" s="3"/>
      <c r="G9" s="3"/>
      <c r="H9" s="3"/>
      <c r="I9" s="3"/>
      <c r="J9" s="3"/>
      <c r="K9" s="3"/>
      <c r="L9" s="3"/>
      <c r="M9" s="3"/>
      <c r="N9" s="3"/>
      <c r="O9" s="3"/>
      <c r="P9" s="3"/>
    </row>
    <row r="10" spans="1:16" x14ac:dyDescent="0.25">
      <c r="A10" s="3"/>
      <c r="B10" s="7" t="s">
        <v>4</v>
      </c>
      <c r="C10" s="3"/>
      <c r="D10" s="3"/>
      <c r="E10" s="3"/>
      <c r="F10" s="3"/>
      <c r="G10" s="3"/>
      <c r="H10" s="3"/>
      <c r="I10" s="3"/>
      <c r="J10" s="3"/>
      <c r="K10" s="3"/>
      <c r="L10" s="3"/>
      <c r="M10" s="3"/>
      <c r="N10" s="3"/>
      <c r="O10" s="3"/>
      <c r="P10" s="3"/>
    </row>
    <row r="11" spans="1:16" x14ac:dyDescent="0.25">
      <c r="A11" s="3"/>
      <c r="B11" s="7" t="s">
        <v>5</v>
      </c>
      <c r="C11" s="3"/>
      <c r="D11" s="3"/>
      <c r="E11" s="3"/>
      <c r="F11" s="3"/>
      <c r="G11" s="3"/>
      <c r="H11" s="3"/>
      <c r="I11" s="3"/>
      <c r="J11" s="3"/>
      <c r="K11" s="3"/>
      <c r="L11" s="3"/>
      <c r="M11" s="3"/>
      <c r="N11" s="3"/>
      <c r="O11" s="3"/>
      <c r="P11" s="3"/>
    </row>
    <row r="12" spans="1:16" x14ac:dyDescent="0.25">
      <c r="A12" s="3"/>
      <c r="B12" s="7" t="s">
        <v>6</v>
      </c>
      <c r="C12" s="3"/>
      <c r="D12" s="3"/>
      <c r="E12" s="3"/>
      <c r="F12" s="3"/>
      <c r="G12" s="3"/>
      <c r="H12" s="3"/>
      <c r="I12" s="3"/>
      <c r="J12" s="3"/>
      <c r="K12" s="3"/>
      <c r="L12" s="3"/>
      <c r="M12" s="3"/>
      <c r="N12" s="3"/>
      <c r="O12" s="3"/>
      <c r="P12" s="3"/>
    </row>
    <row r="13" spans="1:16" x14ac:dyDescent="0.25">
      <c r="A13" s="3"/>
      <c r="B13" s="7" t="s">
        <v>7</v>
      </c>
      <c r="C13" s="3"/>
      <c r="D13" s="3"/>
      <c r="E13" s="3"/>
      <c r="F13" s="3"/>
      <c r="G13" s="3"/>
      <c r="H13" s="3"/>
      <c r="I13" s="3"/>
      <c r="J13" s="3"/>
      <c r="K13" s="3"/>
      <c r="L13" s="3"/>
      <c r="M13" s="3"/>
      <c r="N13" s="3"/>
      <c r="O13" s="3"/>
      <c r="P13" s="3"/>
    </row>
    <row r="14" spans="1:16" x14ac:dyDescent="0.25">
      <c r="A14" s="3"/>
      <c r="B14" s="7" t="s">
        <v>8</v>
      </c>
      <c r="C14" s="3"/>
      <c r="D14" s="3"/>
      <c r="E14" s="3"/>
      <c r="F14" s="3"/>
      <c r="G14" s="3"/>
      <c r="H14" s="3"/>
      <c r="I14" s="3"/>
      <c r="J14" s="3"/>
      <c r="K14" s="3"/>
      <c r="L14" s="3"/>
      <c r="M14" s="3"/>
      <c r="N14" s="3"/>
      <c r="O14" s="3"/>
      <c r="P14" s="3"/>
    </row>
    <row r="15" spans="1:16" x14ac:dyDescent="0.25">
      <c r="A15" s="3"/>
      <c r="B15" s="7" t="s">
        <v>9</v>
      </c>
      <c r="C15" s="3"/>
      <c r="D15" s="3"/>
      <c r="E15" s="3"/>
      <c r="F15" s="3"/>
      <c r="G15" s="3"/>
      <c r="H15" s="3"/>
      <c r="I15" s="3"/>
      <c r="J15" s="3"/>
      <c r="K15" s="3"/>
      <c r="L15" s="3"/>
      <c r="M15" s="3"/>
      <c r="N15" s="3"/>
      <c r="O15" s="3"/>
      <c r="P15" s="3"/>
    </row>
    <row r="16" spans="1:16" x14ac:dyDescent="0.25">
      <c r="A16" s="3"/>
      <c r="B16" s="7" t="s">
        <v>10</v>
      </c>
      <c r="C16" s="3"/>
      <c r="D16" s="3"/>
      <c r="E16" s="3"/>
      <c r="F16" s="3"/>
      <c r="G16" s="3"/>
      <c r="H16" s="3"/>
      <c r="I16" s="3"/>
      <c r="J16" s="3"/>
      <c r="K16" s="3"/>
      <c r="L16" s="3"/>
      <c r="M16" s="3"/>
      <c r="N16" s="3"/>
      <c r="O16" s="3"/>
      <c r="P16" s="3"/>
    </row>
    <row r="17" spans="1:16" x14ac:dyDescent="0.25">
      <c r="A17" s="3"/>
      <c r="B17" s="3"/>
      <c r="C17" s="3"/>
      <c r="D17" s="3"/>
      <c r="E17" s="3"/>
      <c r="F17" s="3"/>
      <c r="G17" s="3"/>
      <c r="H17" s="3"/>
      <c r="I17" s="3"/>
      <c r="J17" s="3"/>
      <c r="K17" s="3"/>
      <c r="L17" s="3"/>
      <c r="M17" s="3"/>
      <c r="N17" s="3"/>
      <c r="O17" s="3"/>
      <c r="P17" s="3"/>
    </row>
    <row r="18" spans="1:16" x14ac:dyDescent="0.25">
      <c r="A18" s="3"/>
      <c r="B18" s="6" t="s">
        <v>11</v>
      </c>
      <c r="C18" s="3"/>
      <c r="D18" s="3"/>
      <c r="E18" s="3"/>
      <c r="F18" s="3"/>
      <c r="G18" s="3"/>
      <c r="H18" s="3"/>
      <c r="I18" s="3"/>
      <c r="J18" s="3"/>
      <c r="K18" s="3"/>
      <c r="L18" s="3"/>
      <c r="M18" s="3"/>
      <c r="N18" s="3"/>
      <c r="O18" s="3"/>
      <c r="P18" s="3"/>
    </row>
    <row r="19" spans="1:16" x14ac:dyDescent="0.25">
      <c r="A19" s="3"/>
      <c r="B19" s="8" t="s">
        <v>12</v>
      </c>
      <c r="C19" s="3"/>
      <c r="D19" s="3"/>
      <c r="E19" s="3"/>
      <c r="F19" s="3"/>
      <c r="G19" s="3"/>
      <c r="H19" s="3"/>
      <c r="I19" s="3"/>
      <c r="J19" s="3"/>
      <c r="K19" s="3"/>
      <c r="L19" s="3"/>
      <c r="M19" s="3"/>
      <c r="N19" s="3"/>
      <c r="O19" s="3"/>
      <c r="P19" s="3"/>
    </row>
    <row r="20" spans="1:16" x14ac:dyDescent="0.25">
      <c r="A20" s="3"/>
      <c r="B20" s="9" t="s">
        <v>13</v>
      </c>
      <c r="C20" s="3"/>
      <c r="D20" s="3"/>
      <c r="E20" s="3"/>
      <c r="F20" s="3"/>
      <c r="G20" s="3"/>
      <c r="H20" s="3"/>
      <c r="I20" s="3"/>
      <c r="J20" s="3"/>
      <c r="K20" s="3"/>
      <c r="L20" s="3"/>
      <c r="M20" s="3"/>
      <c r="N20" s="3"/>
      <c r="O20" s="3"/>
      <c r="P20" s="3"/>
    </row>
    <row r="21" spans="1:16" x14ac:dyDescent="0.25">
      <c r="A21" s="3"/>
      <c r="B21" s="10" t="s">
        <v>14</v>
      </c>
      <c r="C21" s="3"/>
      <c r="D21" s="3"/>
      <c r="E21" s="3"/>
      <c r="F21" s="3"/>
      <c r="G21" s="3"/>
      <c r="H21" s="3"/>
      <c r="I21" s="3"/>
      <c r="J21" s="3"/>
      <c r="K21" s="3"/>
      <c r="L21" s="3"/>
      <c r="M21" s="3"/>
      <c r="N21" s="3"/>
      <c r="O21" s="3"/>
      <c r="P21" s="3"/>
    </row>
    <row r="22" spans="1:16" x14ac:dyDescent="0.25">
      <c r="A22" s="3"/>
      <c r="B22" s="11" t="s">
        <v>15</v>
      </c>
      <c r="C22" s="3"/>
      <c r="D22" s="3"/>
      <c r="E22" s="3"/>
      <c r="F22" s="3"/>
      <c r="G22" s="3"/>
      <c r="H22" s="3"/>
      <c r="I22" s="3"/>
      <c r="J22" s="3"/>
      <c r="K22" s="3"/>
      <c r="L22" s="3"/>
      <c r="M22" s="3"/>
      <c r="N22" s="3"/>
      <c r="O22" s="3"/>
      <c r="P22" s="3"/>
    </row>
    <row r="23" spans="1:16" x14ac:dyDescent="0.25">
      <c r="A23" s="3"/>
      <c r="B23" s="3"/>
      <c r="C23" s="3"/>
      <c r="D23" s="3"/>
      <c r="E23" s="3"/>
      <c r="F23" s="3"/>
      <c r="G23" s="3"/>
      <c r="H23" s="3"/>
      <c r="I23" s="3"/>
      <c r="J23" s="3"/>
      <c r="K23" s="3"/>
      <c r="L23" s="3"/>
      <c r="M23" s="3"/>
      <c r="N23" s="3"/>
      <c r="O23" s="3"/>
      <c r="P23" s="3"/>
    </row>
    <row r="24" spans="1:16" x14ac:dyDescent="0.25">
      <c r="A24" s="3"/>
      <c r="B24" s="3"/>
      <c r="C24" s="3"/>
      <c r="D24" s="3"/>
      <c r="E24" s="3"/>
      <c r="F24" s="3"/>
      <c r="G24" s="3"/>
      <c r="H24" s="3"/>
      <c r="I24" s="3"/>
      <c r="J24" s="3"/>
      <c r="K24" s="3"/>
      <c r="L24" s="3"/>
      <c r="M24" s="3"/>
      <c r="N24" s="3"/>
      <c r="O24" s="3"/>
      <c r="P24" s="3"/>
    </row>
    <row r="25" spans="1:16" x14ac:dyDescent="0.25">
      <c r="A25" s="3"/>
      <c r="B25" s="3"/>
      <c r="C25" s="3"/>
      <c r="D25" s="3"/>
      <c r="E25" s="3"/>
      <c r="F25" s="3"/>
      <c r="G25" s="3"/>
      <c r="H25" s="3"/>
      <c r="I25" s="3"/>
      <c r="J25" s="3"/>
      <c r="K25" s="3"/>
      <c r="L25" s="3"/>
      <c r="M25" s="3"/>
      <c r="N25" s="3"/>
      <c r="O25" s="3"/>
      <c r="P25" s="3"/>
    </row>
    <row r="26" spans="1:16" x14ac:dyDescent="0.25">
      <c r="A26" s="3"/>
      <c r="B26" s="301" t="s">
        <v>16</v>
      </c>
      <c r="C26" s="301"/>
      <c r="D26" s="301"/>
      <c r="E26" s="301"/>
      <c r="F26" s="301"/>
      <c r="G26" s="301"/>
      <c r="H26" s="301"/>
      <c r="I26" s="301"/>
      <c r="J26" s="301"/>
      <c r="K26" s="301"/>
      <c r="L26" s="301"/>
      <c r="M26" s="301"/>
      <c r="N26" s="301"/>
      <c r="O26" s="301"/>
      <c r="P26" s="3"/>
    </row>
    <row r="27" spans="1:16" x14ac:dyDescent="0.25">
      <c r="A27" s="3"/>
      <c r="B27" s="3"/>
      <c r="C27" s="3"/>
      <c r="D27" s="3"/>
      <c r="E27" s="3"/>
      <c r="F27" s="3"/>
      <c r="G27" s="3"/>
      <c r="H27" s="3"/>
      <c r="I27" s="3"/>
      <c r="J27" s="3"/>
      <c r="K27" s="3"/>
      <c r="L27" s="3"/>
      <c r="M27" s="3"/>
      <c r="N27" s="3"/>
      <c r="O27" s="3"/>
      <c r="P27" s="3"/>
    </row>
  </sheetData>
  <mergeCells count="1">
    <mergeCell ref="B26:O26"/>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T148"/>
  <sheetViews>
    <sheetView showGridLines="0" zoomScale="80" zoomScaleNormal="80" workbookViewId="0">
      <pane ySplit="1" topLeftCell="A83" activePane="bottomLeft" state="frozen"/>
      <selection pane="bottomLeft" activeCell="U133" sqref="U133"/>
    </sheetView>
  </sheetViews>
  <sheetFormatPr defaultColWidth="8.7109375" defaultRowHeight="15" x14ac:dyDescent="0.25"/>
  <cols>
    <col min="2" max="2" width="35.7109375" customWidth="1"/>
    <col min="3" max="17" width="14.28515625" customWidth="1"/>
    <col min="19" max="19" width="11" customWidth="1"/>
  </cols>
  <sheetData>
    <row r="1" spans="2:20" x14ac:dyDescent="0.25">
      <c r="C1" s="12">
        <v>2021</v>
      </c>
      <c r="D1" s="13">
        <v>2022</v>
      </c>
      <c r="E1" s="13">
        <v>2023</v>
      </c>
      <c r="F1" s="13">
        <v>2024</v>
      </c>
      <c r="G1" s="14">
        <v>2025</v>
      </c>
      <c r="H1" s="15">
        <v>2026</v>
      </c>
      <c r="I1" s="15">
        <v>2027</v>
      </c>
      <c r="J1" s="15">
        <v>2028</v>
      </c>
      <c r="K1" s="15">
        <v>2029</v>
      </c>
      <c r="L1" s="16">
        <v>2030</v>
      </c>
      <c r="M1" s="16">
        <v>2031</v>
      </c>
      <c r="N1" s="16">
        <v>2032</v>
      </c>
      <c r="O1" s="16">
        <v>2033</v>
      </c>
      <c r="P1" s="16">
        <v>2034</v>
      </c>
      <c r="Q1" s="16">
        <v>2035</v>
      </c>
    </row>
    <row r="3" spans="2:20" x14ac:dyDescent="0.25">
      <c r="B3" s="302" t="s">
        <v>17</v>
      </c>
      <c r="C3" s="302"/>
      <c r="D3" s="302"/>
      <c r="E3" s="302"/>
      <c r="F3" s="302"/>
      <c r="G3" s="302"/>
      <c r="H3" s="302"/>
      <c r="I3" s="302"/>
      <c r="J3" s="302"/>
      <c r="K3" s="302"/>
      <c r="L3" s="302"/>
      <c r="M3" s="302"/>
      <c r="N3" s="302"/>
      <c r="O3" s="302"/>
      <c r="P3" s="302"/>
      <c r="Q3" s="302"/>
    </row>
    <row r="5" spans="2:20" x14ac:dyDescent="0.25">
      <c r="B5" s="17" t="s">
        <v>18</v>
      </c>
      <c r="S5" s="303">
        <v>2</v>
      </c>
      <c r="T5" s="303"/>
    </row>
    <row r="6" spans="2:20" x14ac:dyDescent="0.25">
      <c r="B6" s="18" t="s">
        <v>19</v>
      </c>
      <c r="C6" s="18"/>
      <c r="D6" s="18"/>
      <c r="E6" s="18"/>
      <c r="F6" s="18"/>
      <c r="G6" s="18"/>
      <c r="H6" s="19">
        <f>+MODL!D34/100</f>
        <v>4.7258264184528699E-2</v>
      </c>
      <c r="I6" s="19">
        <f>+MODL!E34/100</f>
        <v>4.6633719491632503E-2</v>
      </c>
      <c r="J6" s="19">
        <f>+MODL!F34/100</f>
        <v>4.6689495413654594E-2</v>
      </c>
      <c r="K6" s="19">
        <f>+MODL!G34/100</f>
        <v>4.2408924812572496E-2</v>
      </c>
      <c r="L6" s="19">
        <f>+MODL!H34/100</f>
        <v>4.4995557392584998E-2</v>
      </c>
      <c r="M6" s="19">
        <f>+MODL!I34/100</f>
        <v>4.5092980871093501E-2</v>
      </c>
      <c r="N6" s="19">
        <f>+MODL!J34/100</f>
        <v>4.8022752275110304E-2</v>
      </c>
      <c r="O6" s="19">
        <f>+MODL!K34/100</f>
        <v>4.2819890293974504E-2</v>
      </c>
      <c r="P6" s="19">
        <f>+MODL!L34/100</f>
        <v>4.5408700358281401E-2</v>
      </c>
      <c r="Q6" s="19">
        <f>+MODL!M34/100</f>
        <v>4.5510235033512599E-2</v>
      </c>
      <c r="S6" s="20" t="s">
        <v>20</v>
      </c>
      <c r="T6" s="21">
        <v>1</v>
      </c>
    </row>
    <row r="7" spans="2:20" x14ac:dyDescent="0.25">
      <c r="B7" s="22" t="s">
        <v>21</v>
      </c>
      <c r="H7" s="23">
        <f>+MODL!D35/100</f>
        <v>5.7951020410071399E-2</v>
      </c>
      <c r="I7" s="23">
        <f>+MODL!E35/100</f>
        <v>4.5261133125798401E-2</v>
      </c>
      <c r="J7" s="23">
        <f>+MODL!F35/100</f>
        <v>4.5518363597911907E-2</v>
      </c>
      <c r="K7" s="23">
        <f>+MODL!G35/100</f>
        <v>3.7190631467103802E-2</v>
      </c>
      <c r="L7" s="23">
        <f>+MODL!H35/100</f>
        <v>3.9820309248143101E-2</v>
      </c>
      <c r="M7" s="23">
        <f>+MODL!I35/100</f>
        <v>3.9818125493184399E-2</v>
      </c>
      <c r="N7" s="23">
        <f>+MODL!J35/100</f>
        <v>4.3566415946459103E-2</v>
      </c>
      <c r="O7" s="23">
        <f>+MODL!K35/100</f>
        <v>3.7197778149194199E-2</v>
      </c>
      <c r="P7" s="23">
        <f>+MODL!L35/100</f>
        <v>3.9824571181467601E-2</v>
      </c>
      <c r="Q7" s="23">
        <f>+MODL!M35/100</f>
        <v>3.9822393880211499E-2</v>
      </c>
      <c r="S7" s="20" t="s">
        <v>22</v>
      </c>
      <c r="T7" s="21">
        <v>2</v>
      </c>
    </row>
    <row r="8" spans="2:20" x14ac:dyDescent="0.25">
      <c r="B8" s="22" t="s">
        <v>23</v>
      </c>
      <c r="H8" s="23">
        <f>+MODL!D36/100</f>
        <v>4.5139482186502301E-2</v>
      </c>
      <c r="I8" s="23">
        <f>+MODL!E36/100</f>
        <v>6.5433256589834801E-2</v>
      </c>
      <c r="J8" s="23">
        <f>+MODL!F36/100</f>
        <v>6.5000000000000002E-2</v>
      </c>
      <c r="K8" s="23">
        <f>+MODL!G36/100</f>
        <v>6.5000000000000002E-2</v>
      </c>
      <c r="L8" s="23">
        <f>+MODL!H36/100</f>
        <v>6.5000000000000002E-2</v>
      </c>
      <c r="M8" s="23">
        <f>+MODL!I36/100</f>
        <v>6.5000000000000002E-2</v>
      </c>
      <c r="N8" s="23">
        <f>+MODL!J36/100</f>
        <v>6.5000000000000002E-2</v>
      </c>
      <c r="O8" s="23">
        <f>+MODL!K36/100</f>
        <v>6.5000000000000002E-2</v>
      </c>
      <c r="P8" s="23">
        <f>+MODL!L36/100</f>
        <v>6.5000000000000002E-2</v>
      </c>
      <c r="Q8" s="23">
        <f>+MODL!M36/100</f>
        <v>6.5000000000000002E-2</v>
      </c>
      <c r="S8" s="24" t="s">
        <v>24</v>
      </c>
      <c r="T8" s="25">
        <v>3</v>
      </c>
    </row>
    <row r="9" spans="2:20" x14ac:dyDescent="0.25">
      <c r="B9" s="22" t="s">
        <v>25</v>
      </c>
      <c r="H9" s="23">
        <f>+MODL!D37/100</f>
        <v>5.1145988714098596E-2</v>
      </c>
      <c r="I9" s="23">
        <f>+MODL!E37/100</f>
        <v>4.2054847991899097E-2</v>
      </c>
      <c r="J9" s="23">
        <f>+MODL!F37/100</f>
        <v>4.3643296903468701E-2</v>
      </c>
      <c r="K9" s="23">
        <f>+MODL!G37/100</f>
        <v>4.2558039897070403E-2</v>
      </c>
      <c r="L9" s="23">
        <f>+MODL!H37/100</f>
        <v>4.3816364621526299E-2</v>
      </c>
      <c r="M9" s="23">
        <f>+MODL!I37/100</f>
        <v>4.3815331223916995E-2</v>
      </c>
      <c r="N9" s="23">
        <f>+MODL!J37/100</f>
        <v>4.4692868260540794E-2</v>
      </c>
      <c r="O9" s="23">
        <f>+MODL!K37/100</f>
        <v>4.2560638886124505E-2</v>
      </c>
      <c r="P9" s="23">
        <f>+MODL!L37/100</f>
        <v>4.3818392225213401E-2</v>
      </c>
      <c r="Q9" s="23">
        <f>+MODL!M37/100</f>
        <v>4.38173586565501E-2</v>
      </c>
    </row>
    <row r="10" spans="2:20" x14ac:dyDescent="0.25">
      <c r="B10" s="22" t="s">
        <v>26</v>
      </c>
      <c r="H10" s="23">
        <f>+MODL!D38/100</f>
        <v>1.6135374704356401E-2</v>
      </c>
      <c r="I10" s="23">
        <f>+MODL!E38/100</f>
        <v>4.0113099499493099E-2</v>
      </c>
      <c r="J10" s="23">
        <f>+MODL!F38/100</f>
        <v>4.6312062040161396E-2</v>
      </c>
      <c r="K10" s="23">
        <f>+MODL!G38/100</f>
        <v>5.14871017888281E-2</v>
      </c>
      <c r="L10" s="23">
        <f>+MODL!H38/100</f>
        <v>5.4339401353036096E-2</v>
      </c>
      <c r="M10" s="23">
        <f>+MODL!I38/100</f>
        <v>5.4336070683119297E-2</v>
      </c>
      <c r="N10" s="23">
        <f>+MODL!J38/100</f>
        <v>6.1215387466639903E-2</v>
      </c>
      <c r="O10" s="23">
        <f>+MODL!K38/100</f>
        <v>5.1500027322728299E-2</v>
      </c>
      <c r="P10" s="23">
        <f>+MODL!L38/100</f>
        <v>5.4345871745999801E-2</v>
      </c>
      <c r="Q10" s="23">
        <f>+MODL!M38/100</f>
        <v>5.4342564870635199E-2</v>
      </c>
    </row>
    <row r="12" spans="2:20" x14ac:dyDescent="0.25">
      <c r="B12" s="17" t="s">
        <v>27</v>
      </c>
      <c r="C12" s="26">
        <v>5.0000000000000001E-3</v>
      </c>
    </row>
    <row r="13" spans="2:20" x14ac:dyDescent="0.25">
      <c r="B13" s="22" t="s">
        <v>21</v>
      </c>
      <c r="C13" s="27"/>
      <c r="H13" s="28">
        <f t="shared" ref="H13:Q13" si="0">+H7+$C$12</f>
        <v>6.2951020410071404E-2</v>
      </c>
      <c r="I13" s="28">
        <f t="shared" si="0"/>
        <v>5.0261133125798399E-2</v>
      </c>
      <c r="J13" s="28">
        <f t="shared" si="0"/>
        <v>5.0518363597911904E-2</v>
      </c>
      <c r="K13" s="28">
        <f t="shared" si="0"/>
        <v>4.2190631467103799E-2</v>
      </c>
      <c r="L13" s="28">
        <f t="shared" si="0"/>
        <v>4.4820309248143099E-2</v>
      </c>
      <c r="M13" s="28">
        <f t="shared" si="0"/>
        <v>4.4818125493184396E-2</v>
      </c>
      <c r="N13" s="28">
        <f t="shared" si="0"/>
        <v>4.85664159464591E-2</v>
      </c>
      <c r="O13" s="28">
        <f t="shared" si="0"/>
        <v>4.2197778149194197E-2</v>
      </c>
      <c r="P13" s="28">
        <f t="shared" si="0"/>
        <v>4.4824571181467598E-2</v>
      </c>
      <c r="Q13" s="28">
        <f t="shared" si="0"/>
        <v>4.4822393880211496E-2</v>
      </c>
    </row>
    <row r="14" spans="2:20" x14ac:dyDescent="0.25">
      <c r="B14" s="22" t="s">
        <v>23</v>
      </c>
      <c r="C14" s="27"/>
      <c r="H14" s="28">
        <f t="shared" ref="H14:Q14" si="1">+H8+$C$12</f>
        <v>5.0139482186502299E-2</v>
      </c>
      <c r="I14" s="28">
        <f t="shared" si="1"/>
        <v>7.0433256589834806E-2</v>
      </c>
      <c r="J14" s="28">
        <f t="shared" si="1"/>
        <v>7.0000000000000007E-2</v>
      </c>
      <c r="K14" s="28">
        <f t="shared" si="1"/>
        <v>7.0000000000000007E-2</v>
      </c>
      <c r="L14" s="28">
        <f t="shared" si="1"/>
        <v>7.0000000000000007E-2</v>
      </c>
      <c r="M14" s="28">
        <f t="shared" si="1"/>
        <v>7.0000000000000007E-2</v>
      </c>
      <c r="N14" s="28">
        <f t="shared" si="1"/>
        <v>7.0000000000000007E-2</v>
      </c>
      <c r="O14" s="28">
        <f t="shared" si="1"/>
        <v>7.0000000000000007E-2</v>
      </c>
      <c r="P14" s="28">
        <f t="shared" si="1"/>
        <v>7.0000000000000007E-2</v>
      </c>
      <c r="Q14" s="28">
        <f t="shared" si="1"/>
        <v>7.0000000000000007E-2</v>
      </c>
    </row>
    <row r="15" spans="2:20" x14ac:dyDescent="0.25">
      <c r="B15" s="22" t="s">
        <v>25</v>
      </c>
      <c r="C15" s="27"/>
      <c r="H15" s="28">
        <f t="shared" ref="H15:Q15" si="2">+H9+$C$12</f>
        <v>5.6145988714098594E-2</v>
      </c>
      <c r="I15" s="28">
        <f t="shared" si="2"/>
        <v>4.7054847991899094E-2</v>
      </c>
      <c r="J15" s="28">
        <f t="shared" si="2"/>
        <v>4.8643296903468698E-2</v>
      </c>
      <c r="K15" s="28">
        <f t="shared" si="2"/>
        <v>4.75580398970704E-2</v>
      </c>
      <c r="L15" s="28">
        <f t="shared" si="2"/>
        <v>4.8816364621526297E-2</v>
      </c>
      <c r="M15" s="28">
        <f t="shared" si="2"/>
        <v>4.8815331223916993E-2</v>
      </c>
      <c r="N15" s="28">
        <f t="shared" si="2"/>
        <v>4.9692868260540791E-2</v>
      </c>
      <c r="O15" s="28">
        <f t="shared" si="2"/>
        <v>4.7560638886124502E-2</v>
      </c>
      <c r="P15" s="28">
        <f t="shared" si="2"/>
        <v>4.8818392225213399E-2</v>
      </c>
      <c r="Q15" s="28">
        <f t="shared" si="2"/>
        <v>4.8817358656550097E-2</v>
      </c>
    </row>
    <row r="16" spans="2:20" x14ac:dyDescent="0.25">
      <c r="B16" s="22" t="s">
        <v>26</v>
      </c>
      <c r="C16" s="27"/>
      <c r="H16" s="28">
        <f t="shared" ref="H16:Q16" si="3">+H10+$C$12</f>
        <v>2.1135374704356402E-2</v>
      </c>
      <c r="I16" s="28">
        <f t="shared" si="3"/>
        <v>4.5113099499493096E-2</v>
      </c>
      <c r="J16" s="28">
        <f t="shared" si="3"/>
        <v>5.1312062040161394E-2</v>
      </c>
      <c r="K16" s="28">
        <f t="shared" si="3"/>
        <v>5.6487101788828098E-2</v>
      </c>
      <c r="L16" s="28">
        <f t="shared" si="3"/>
        <v>5.9339401353036093E-2</v>
      </c>
      <c r="M16" s="28">
        <f t="shared" si="3"/>
        <v>5.9336070683119295E-2</v>
      </c>
      <c r="N16" s="28">
        <f t="shared" si="3"/>
        <v>6.6215387466639908E-2</v>
      </c>
      <c r="O16" s="28">
        <f t="shared" si="3"/>
        <v>5.6500027322728297E-2</v>
      </c>
      <c r="P16" s="28">
        <f t="shared" si="3"/>
        <v>5.9345871745999798E-2</v>
      </c>
      <c r="Q16" s="28">
        <f t="shared" si="3"/>
        <v>5.9342564870635196E-2</v>
      </c>
    </row>
    <row r="17" spans="2:17" x14ac:dyDescent="0.25">
      <c r="C17" s="27"/>
    </row>
    <row r="18" spans="2:17" x14ac:dyDescent="0.25">
      <c r="B18" s="17" t="s">
        <v>28</v>
      </c>
      <c r="C18" s="26">
        <v>5.0000000000000001E-3</v>
      </c>
    </row>
    <row r="19" spans="2:17" x14ac:dyDescent="0.25">
      <c r="B19" s="22" t="s">
        <v>21</v>
      </c>
      <c r="H19" s="28">
        <f t="shared" ref="H19:Q19" si="4">+H7-$C$18</f>
        <v>5.2951020410071402E-2</v>
      </c>
      <c r="I19" s="28">
        <f t="shared" si="4"/>
        <v>4.0261133125798404E-2</v>
      </c>
      <c r="J19" s="28">
        <f t="shared" si="4"/>
        <v>4.0518363597911909E-2</v>
      </c>
      <c r="K19" s="28">
        <f t="shared" si="4"/>
        <v>3.2190631467103804E-2</v>
      </c>
      <c r="L19" s="28">
        <f t="shared" si="4"/>
        <v>3.4820309248143104E-2</v>
      </c>
      <c r="M19" s="28">
        <f t="shared" si="4"/>
        <v>3.4818125493184401E-2</v>
      </c>
      <c r="N19" s="28">
        <f t="shared" si="4"/>
        <v>3.8566415946459105E-2</v>
      </c>
      <c r="O19" s="28">
        <f t="shared" si="4"/>
        <v>3.2197778149194202E-2</v>
      </c>
      <c r="P19" s="28">
        <f t="shared" si="4"/>
        <v>3.4824571181467603E-2</v>
      </c>
      <c r="Q19" s="28">
        <f t="shared" si="4"/>
        <v>3.4822393880211501E-2</v>
      </c>
    </row>
    <row r="20" spans="2:17" x14ac:dyDescent="0.25">
      <c r="B20" s="22" t="s">
        <v>23</v>
      </c>
      <c r="H20" s="28">
        <f t="shared" ref="H20:Q20" si="5">+H8-$C$18</f>
        <v>4.0139482186502304E-2</v>
      </c>
      <c r="I20" s="28">
        <f t="shared" si="5"/>
        <v>6.0433256589834804E-2</v>
      </c>
      <c r="J20" s="28">
        <f t="shared" si="5"/>
        <v>6.0000000000000005E-2</v>
      </c>
      <c r="K20" s="28">
        <f t="shared" si="5"/>
        <v>6.0000000000000005E-2</v>
      </c>
      <c r="L20" s="28">
        <f t="shared" si="5"/>
        <v>6.0000000000000005E-2</v>
      </c>
      <c r="M20" s="28">
        <f t="shared" si="5"/>
        <v>6.0000000000000005E-2</v>
      </c>
      <c r="N20" s="28">
        <f t="shared" si="5"/>
        <v>6.0000000000000005E-2</v>
      </c>
      <c r="O20" s="28">
        <f t="shared" si="5"/>
        <v>6.0000000000000005E-2</v>
      </c>
      <c r="P20" s="28">
        <f t="shared" si="5"/>
        <v>6.0000000000000005E-2</v>
      </c>
      <c r="Q20" s="28">
        <f t="shared" si="5"/>
        <v>6.0000000000000005E-2</v>
      </c>
    </row>
    <row r="21" spans="2:17" x14ac:dyDescent="0.25">
      <c r="B21" s="22" t="s">
        <v>25</v>
      </c>
      <c r="H21" s="28">
        <f t="shared" ref="H21:Q21" si="6">+H9-$C$18</f>
        <v>4.6145988714098599E-2</v>
      </c>
      <c r="I21" s="28">
        <f t="shared" si="6"/>
        <v>3.7054847991899099E-2</v>
      </c>
      <c r="J21" s="28">
        <f t="shared" si="6"/>
        <v>3.8643296903468703E-2</v>
      </c>
      <c r="K21" s="28">
        <f t="shared" si="6"/>
        <v>3.7558039897070405E-2</v>
      </c>
      <c r="L21" s="28">
        <f t="shared" si="6"/>
        <v>3.8816364621526302E-2</v>
      </c>
      <c r="M21" s="28">
        <f t="shared" si="6"/>
        <v>3.8815331223916998E-2</v>
      </c>
      <c r="N21" s="28">
        <f t="shared" si="6"/>
        <v>3.9692868260540796E-2</v>
      </c>
      <c r="O21" s="28">
        <f t="shared" si="6"/>
        <v>3.7560638886124507E-2</v>
      </c>
      <c r="P21" s="28">
        <f t="shared" si="6"/>
        <v>3.8818392225213404E-2</v>
      </c>
      <c r="Q21" s="28">
        <f t="shared" si="6"/>
        <v>3.8817358656550102E-2</v>
      </c>
    </row>
    <row r="22" spans="2:17" x14ac:dyDescent="0.25">
      <c r="B22" s="22" t="s">
        <v>26</v>
      </c>
      <c r="H22" s="28">
        <f t="shared" ref="H22:Q22" si="7">+H10-$C$18</f>
        <v>1.11353747043564E-2</v>
      </c>
      <c r="I22" s="28">
        <f t="shared" si="7"/>
        <v>3.5113099499493101E-2</v>
      </c>
      <c r="J22" s="28">
        <f t="shared" si="7"/>
        <v>4.1312062040161399E-2</v>
      </c>
      <c r="K22" s="28">
        <f t="shared" si="7"/>
        <v>4.6487101788828103E-2</v>
      </c>
      <c r="L22" s="28">
        <f t="shared" si="7"/>
        <v>4.9339401353036098E-2</v>
      </c>
      <c r="M22" s="28">
        <f t="shared" si="7"/>
        <v>4.93360706831193E-2</v>
      </c>
      <c r="N22" s="28">
        <f t="shared" si="7"/>
        <v>5.6215387466639906E-2</v>
      </c>
      <c r="O22" s="28">
        <f t="shared" si="7"/>
        <v>4.6500027322728302E-2</v>
      </c>
      <c r="P22" s="28">
        <f t="shared" si="7"/>
        <v>4.9345871745999803E-2</v>
      </c>
      <c r="Q22" s="28">
        <f t="shared" si="7"/>
        <v>4.9342564870635201E-2</v>
      </c>
    </row>
    <row r="24" spans="2:17" x14ac:dyDescent="0.25">
      <c r="B24" s="2" t="s">
        <v>29</v>
      </c>
    </row>
    <row r="25" spans="2:17" x14ac:dyDescent="0.25">
      <c r="B25" s="29" t="s">
        <v>21</v>
      </c>
      <c r="C25" s="30"/>
      <c r="D25" s="30"/>
      <c r="E25" s="30"/>
      <c r="F25" s="30"/>
      <c r="G25" s="30"/>
      <c r="H25" s="31">
        <f t="shared" ref="H25:Q25" si="8">+CHOOSE($S$5, H13, H7, H19)</f>
        <v>5.7951020410071399E-2</v>
      </c>
      <c r="I25" s="31">
        <f t="shared" si="8"/>
        <v>4.5261133125798401E-2</v>
      </c>
      <c r="J25" s="31">
        <f t="shared" si="8"/>
        <v>4.5518363597911907E-2</v>
      </c>
      <c r="K25" s="31">
        <f t="shared" si="8"/>
        <v>3.7190631467103802E-2</v>
      </c>
      <c r="L25" s="31">
        <f t="shared" si="8"/>
        <v>3.9820309248143101E-2</v>
      </c>
      <c r="M25" s="31">
        <f t="shared" si="8"/>
        <v>3.9818125493184399E-2</v>
      </c>
      <c r="N25" s="31">
        <f t="shared" si="8"/>
        <v>4.3566415946459103E-2</v>
      </c>
      <c r="O25" s="31">
        <f t="shared" si="8"/>
        <v>3.7197778149194199E-2</v>
      </c>
      <c r="P25" s="31">
        <f t="shared" si="8"/>
        <v>3.9824571181467601E-2</v>
      </c>
      <c r="Q25" s="32">
        <f t="shared" si="8"/>
        <v>3.9822393880211499E-2</v>
      </c>
    </row>
    <row r="26" spans="2:17" x14ac:dyDescent="0.25">
      <c r="B26" s="33" t="s">
        <v>23</v>
      </c>
      <c r="H26" s="34">
        <f t="shared" ref="H26:Q26" si="9">+CHOOSE($S$5, H14, H8, H20)</f>
        <v>4.5139482186502301E-2</v>
      </c>
      <c r="I26" s="34">
        <f t="shared" si="9"/>
        <v>6.5433256589834801E-2</v>
      </c>
      <c r="J26" s="34">
        <f t="shared" si="9"/>
        <v>6.5000000000000002E-2</v>
      </c>
      <c r="K26" s="34">
        <f t="shared" si="9"/>
        <v>6.5000000000000002E-2</v>
      </c>
      <c r="L26" s="34">
        <f t="shared" si="9"/>
        <v>6.5000000000000002E-2</v>
      </c>
      <c r="M26" s="34">
        <f t="shared" si="9"/>
        <v>6.5000000000000002E-2</v>
      </c>
      <c r="N26" s="34">
        <f t="shared" si="9"/>
        <v>6.5000000000000002E-2</v>
      </c>
      <c r="O26" s="34">
        <f t="shared" si="9"/>
        <v>6.5000000000000002E-2</v>
      </c>
      <c r="P26" s="34">
        <f t="shared" si="9"/>
        <v>6.5000000000000002E-2</v>
      </c>
      <c r="Q26" s="35">
        <f t="shared" si="9"/>
        <v>6.5000000000000002E-2</v>
      </c>
    </row>
    <row r="27" spans="2:17" x14ac:dyDescent="0.25">
      <c r="B27" s="33" t="s">
        <v>25</v>
      </c>
      <c r="H27" s="34">
        <f t="shared" ref="H27:Q27" si="10">+CHOOSE($S$5, H15, H9, H21)</f>
        <v>5.1145988714098596E-2</v>
      </c>
      <c r="I27" s="34">
        <f t="shared" si="10"/>
        <v>4.2054847991899097E-2</v>
      </c>
      <c r="J27" s="34">
        <f t="shared" si="10"/>
        <v>4.3643296903468701E-2</v>
      </c>
      <c r="K27" s="34">
        <f t="shared" si="10"/>
        <v>4.2558039897070403E-2</v>
      </c>
      <c r="L27" s="34">
        <f t="shared" si="10"/>
        <v>4.3816364621526299E-2</v>
      </c>
      <c r="M27" s="34">
        <f t="shared" si="10"/>
        <v>4.3815331223916995E-2</v>
      </c>
      <c r="N27" s="34">
        <f t="shared" si="10"/>
        <v>4.4692868260540794E-2</v>
      </c>
      <c r="O27" s="34">
        <f t="shared" si="10"/>
        <v>4.2560638886124505E-2</v>
      </c>
      <c r="P27" s="34">
        <f t="shared" si="10"/>
        <v>4.3818392225213401E-2</v>
      </c>
      <c r="Q27" s="35">
        <f t="shared" si="10"/>
        <v>4.38173586565501E-2</v>
      </c>
    </row>
    <row r="28" spans="2:17" x14ac:dyDescent="0.25">
      <c r="B28" s="36" t="s">
        <v>26</v>
      </c>
      <c r="C28" s="18"/>
      <c r="D28" s="18"/>
      <c r="E28" s="18"/>
      <c r="F28" s="18"/>
      <c r="G28" s="18"/>
      <c r="H28" s="37">
        <f t="shared" ref="H28:Q28" si="11">+CHOOSE($S$5, H16, H10, H22)</f>
        <v>1.6135374704356401E-2</v>
      </c>
      <c r="I28" s="37">
        <f t="shared" si="11"/>
        <v>4.0113099499493099E-2</v>
      </c>
      <c r="J28" s="37">
        <f t="shared" si="11"/>
        <v>4.6312062040161396E-2</v>
      </c>
      <c r="K28" s="37">
        <f t="shared" si="11"/>
        <v>5.14871017888281E-2</v>
      </c>
      <c r="L28" s="37">
        <f t="shared" si="11"/>
        <v>5.4339401353036096E-2</v>
      </c>
      <c r="M28" s="37">
        <f t="shared" si="11"/>
        <v>5.4336070683119297E-2</v>
      </c>
      <c r="N28" s="37">
        <f t="shared" si="11"/>
        <v>6.1215387466639903E-2</v>
      </c>
      <c r="O28" s="37">
        <f t="shared" si="11"/>
        <v>5.1500027322728299E-2</v>
      </c>
      <c r="P28" s="37">
        <f t="shared" si="11"/>
        <v>5.4345871745999801E-2</v>
      </c>
      <c r="Q28" s="38">
        <f t="shared" si="11"/>
        <v>5.4342564870635199E-2</v>
      </c>
    </row>
    <row r="31" spans="2:17" x14ac:dyDescent="0.25">
      <c r="B31" s="302" t="s">
        <v>30</v>
      </c>
      <c r="C31" s="302"/>
      <c r="D31" s="302"/>
      <c r="E31" s="302"/>
      <c r="F31" s="302"/>
      <c r="G31" s="302"/>
      <c r="H31" s="302"/>
      <c r="I31" s="302"/>
      <c r="J31" s="302"/>
      <c r="K31" s="302"/>
      <c r="L31" s="302"/>
      <c r="M31" s="302"/>
      <c r="N31" s="302"/>
      <c r="O31" s="302"/>
      <c r="P31" s="302"/>
      <c r="Q31" s="302"/>
    </row>
    <row r="33" spans="2:17" x14ac:dyDescent="0.25">
      <c r="B33" s="39" t="s">
        <v>31</v>
      </c>
      <c r="C33" s="40">
        <f>+CR!C10/CR!C6</f>
        <v>0.6013761705209788</v>
      </c>
      <c r="D33" s="41">
        <f>+CR!D10/CR!D6</f>
        <v>0.57759141383636114</v>
      </c>
      <c r="E33" s="41">
        <f>+CR!E10/CR!E6</f>
        <v>0.59669316791892368</v>
      </c>
      <c r="F33" s="41">
        <f>+CR!F10/CR!F6</f>
        <v>0.61076401475574127</v>
      </c>
      <c r="G33" s="41">
        <f>+CR!G10/CR!G6</f>
        <v>0.61994923224168785</v>
      </c>
      <c r="H33" s="39"/>
      <c r="I33" s="39"/>
      <c r="J33" s="39"/>
      <c r="K33" s="39"/>
      <c r="L33" s="39"/>
      <c r="M33" s="39"/>
      <c r="N33" s="39"/>
      <c r="O33" s="39"/>
      <c r="P33" s="39"/>
      <c r="Q33" s="39"/>
    </row>
    <row r="34" spans="2:17" x14ac:dyDescent="0.25">
      <c r="B34" s="22" t="s">
        <v>20</v>
      </c>
      <c r="C34" s="42">
        <v>2E-3</v>
      </c>
      <c r="H34" s="28">
        <f>+H35+C34</f>
        <v>0.60327479985473853</v>
      </c>
      <c r="I34" s="28">
        <f t="shared" ref="I34:Q34" si="12">+H34+$C$34</f>
        <v>0.60527479985473853</v>
      </c>
      <c r="J34" s="28">
        <f t="shared" si="12"/>
        <v>0.60727479985473853</v>
      </c>
      <c r="K34" s="28">
        <f t="shared" si="12"/>
        <v>0.60927479985473854</v>
      </c>
      <c r="L34" s="28">
        <f t="shared" si="12"/>
        <v>0.61127479985473854</v>
      </c>
      <c r="M34" s="28">
        <f t="shared" si="12"/>
        <v>0.61327479985473854</v>
      </c>
      <c r="N34" s="28">
        <f t="shared" si="12"/>
        <v>0.61527479985473854</v>
      </c>
      <c r="O34" s="28">
        <f t="shared" si="12"/>
        <v>0.61727479985473854</v>
      </c>
      <c r="P34" s="28">
        <f t="shared" si="12"/>
        <v>0.61927479985473854</v>
      </c>
      <c r="Q34" s="28">
        <f t="shared" si="12"/>
        <v>0.62127479985473855</v>
      </c>
    </row>
    <row r="35" spans="2:17" x14ac:dyDescent="0.25">
      <c r="B35" s="22" t="s">
        <v>22</v>
      </c>
      <c r="C35" s="43">
        <v>0</v>
      </c>
      <c r="H35" s="28">
        <f>+AVERAGE($C$33:$G$33)+C35</f>
        <v>0.60127479985473853</v>
      </c>
      <c r="I35" s="28">
        <f t="shared" ref="I35:Q35" si="13">+H35+$C$35</f>
        <v>0.60127479985473853</v>
      </c>
      <c r="J35" s="28">
        <f t="shared" si="13"/>
        <v>0.60127479985473853</v>
      </c>
      <c r="K35" s="28">
        <f t="shared" si="13"/>
        <v>0.60127479985473853</v>
      </c>
      <c r="L35" s="28">
        <f t="shared" si="13"/>
        <v>0.60127479985473853</v>
      </c>
      <c r="M35" s="28">
        <f t="shared" si="13"/>
        <v>0.60127479985473853</v>
      </c>
      <c r="N35" s="28">
        <f t="shared" si="13"/>
        <v>0.60127479985473853</v>
      </c>
      <c r="O35" s="28">
        <f t="shared" si="13"/>
        <v>0.60127479985473853</v>
      </c>
      <c r="P35" s="28">
        <f t="shared" si="13"/>
        <v>0.60127479985473853</v>
      </c>
      <c r="Q35" s="28">
        <f t="shared" si="13"/>
        <v>0.60127479985473853</v>
      </c>
    </row>
    <row r="36" spans="2:17" x14ac:dyDescent="0.25">
      <c r="B36" s="22" t="s">
        <v>24</v>
      </c>
      <c r="C36" s="44">
        <v>1E-3</v>
      </c>
      <c r="H36" s="28">
        <f>+H35-C36</f>
        <v>0.60027479985473853</v>
      </c>
      <c r="I36" s="28">
        <f t="shared" ref="I36:Q36" si="14">+H36-$C$36</f>
        <v>0.59927479985473853</v>
      </c>
      <c r="J36" s="28">
        <f t="shared" si="14"/>
        <v>0.59827479985473853</v>
      </c>
      <c r="K36" s="28">
        <f t="shared" si="14"/>
        <v>0.59727479985473853</v>
      </c>
      <c r="L36" s="28">
        <f t="shared" si="14"/>
        <v>0.59627479985473852</v>
      </c>
      <c r="M36" s="28">
        <f t="shared" si="14"/>
        <v>0.59527479985473852</v>
      </c>
      <c r="N36" s="28">
        <f t="shared" si="14"/>
        <v>0.59427479985473852</v>
      </c>
      <c r="O36" s="28">
        <f t="shared" si="14"/>
        <v>0.59327479985473852</v>
      </c>
      <c r="P36" s="28">
        <f t="shared" si="14"/>
        <v>0.59227479985473852</v>
      </c>
      <c r="Q36" s="28">
        <f t="shared" si="14"/>
        <v>0.59127479985473852</v>
      </c>
    </row>
    <row r="37" spans="2:17" x14ac:dyDescent="0.25">
      <c r="B37" s="45" t="s">
        <v>32</v>
      </c>
      <c r="C37" s="39"/>
      <c r="D37" s="46"/>
      <c r="E37" s="46"/>
      <c r="F37" s="46"/>
      <c r="G37" s="46"/>
      <c r="H37" s="47">
        <f t="shared" ref="H37:Q37" si="15">+CHOOSE($S$5, H34,H35,H36)</f>
        <v>0.60127479985473853</v>
      </c>
      <c r="I37" s="47">
        <f t="shared" si="15"/>
        <v>0.60127479985473853</v>
      </c>
      <c r="J37" s="47">
        <f t="shared" si="15"/>
        <v>0.60127479985473853</v>
      </c>
      <c r="K37" s="47">
        <f t="shared" si="15"/>
        <v>0.60127479985473853</v>
      </c>
      <c r="L37" s="47">
        <f t="shared" si="15"/>
        <v>0.60127479985473853</v>
      </c>
      <c r="M37" s="47">
        <f t="shared" si="15"/>
        <v>0.60127479985473853</v>
      </c>
      <c r="N37" s="47">
        <f t="shared" si="15"/>
        <v>0.60127479985473853</v>
      </c>
      <c r="O37" s="47">
        <f t="shared" si="15"/>
        <v>0.60127479985473853</v>
      </c>
      <c r="P37" s="47">
        <f t="shared" si="15"/>
        <v>0.60127479985473853</v>
      </c>
      <c r="Q37" s="47">
        <f t="shared" si="15"/>
        <v>0.60127479985473853</v>
      </c>
    </row>
    <row r="40" spans="2:17" x14ac:dyDescent="0.25">
      <c r="B40" s="39" t="s">
        <v>33</v>
      </c>
      <c r="C40" s="18"/>
      <c r="D40" s="18"/>
      <c r="E40" s="18"/>
      <c r="F40" s="18"/>
      <c r="G40" s="18"/>
      <c r="H40" s="48">
        <f>+MODL!D179/100</f>
        <v>0.29422756943496703</v>
      </c>
      <c r="I40" s="48">
        <f>+MODL!E179/100</f>
        <v>0.286116059648934</v>
      </c>
      <c r="J40" s="48">
        <f>+MODL!F179/100</f>
        <v>0.28348515688992698</v>
      </c>
      <c r="K40" s="48">
        <f>+MODL!G179/100</f>
        <v>0.28032817117959802</v>
      </c>
      <c r="L40" s="48">
        <f>+MODL!H179/100</f>
        <v>0.27532817117959801</v>
      </c>
      <c r="M40" s="48">
        <f>+MODL!I179/100</f>
        <v>0.27032817117959801</v>
      </c>
      <c r="N40" s="48">
        <f>+MODL!J179/100</f>
        <v>0.265328171179598</v>
      </c>
      <c r="O40" s="48">
        <f>+MODL!K179/100</f>
        <v>0.260328171179598</v>
      </c>
      <c r="P40" s="48">
        <f>+MODL!L179/100</f>
        <v>0.255328171179598</v>
      </c>
      <c r="Q40" s="48">
        <f>+MODL!M179/100</f>
        <v>0.25032817117959799</v>
      </c>
    </row>
    <row r="41" spans="2:17" x14ac:dyDescent="0.25">
      <c r="B41" t="s">
        <v>20</v>
      </c>
      <c r="C41" s="49">
        <v>0.01</v>
      </c>
      <c r="H41" s="28">
        <f t="shared" ref="H41:Q41" si="16">+H40-$C$41</f>
        <v>0.28422756943496702</v>
      </c>
      <c r="I41" s="28">
        <f t="shared" si="16"/>
        <v>0.27611605964893399</v>
      </c>
      <c r="J41" s="28">
        <f t="shared" si="16"/>
        <v>0.27348515688992697</v>
      </c>
      <c r="K41" s="28">
        <f t="shared" si="16"/>
        <v>0.27032817117959801</v>
      </c>
      <c r="L41" s="28">
        <f t="shared" si="16"/>
        <v>0.265328171179598</v>
      </c>
      <c r="M41" s="28">
        <f t="shared" si="16"/>
        <v>0.260328171179598</v>
      </c>
      <c r="N41" s="28">
        <f t="shared" si="16"/>
        <v>0.255328171179598</v>
      </c>
      <c r="O41" s="28">
        <f t="shared" si="16"/>
        <v>0.25032817117959799</v>
      </c>
      <c r="P41" s="28">
        <f t="shared" si="16"/>
        <v>0.24532817117959799</v>
      </c>
      <c r="Q41" s="28">
        <f t="shared" si="16"/>
        <v>0.24032817117959798</v>
      </c>
    </row>
    <row r="42" spans="2:17" x14ac:dyDescent="0.25">
      <c r="B42" t="s">
        <v>22</v>
      </c>
      <c r="C42" s="50">
        <v>0</v>
      </c>
      <c r="H42" s="51">
        <f t="shared" ref="H42:Q42" si="17">+H40+$C$42</f>
        <v>0.29422756943496703</v>
      </c>
      <c r="I42" s="51">
        <f t="shared" si="17"/>
        <v>0.286116059648934</v>
      </c>
      <c r="J42" s="51">
        <f t="shared" si="17"/>
        <v>0.28348515688992698</v>
      </c>
      <c r="K42" s="51">
        <f t="shared" si="17"/>
        <v>0.28032817117959802</v>
      </c>
      <c r="L42" s="51">
        <f t="shared" si="17"/>
        <v>0.27532817117959801</v>
      </c>
      <c r="M42" s="51">
        <f t="shared" si="17"/>
        <v>0.27032817117959801</v>
      </c>
      <c r="N42" s="51">
        <f t="shared" si="17"/>
        <v>0.265328171179598</v>
      </c>
      <c r="O42" s="51">
        <f t="shared" si="17"/>
        <v>0.260328171179598</v>
      </c>
      <c r="P42" s="51">
        <f t="shared" si="17"/>
        <v>0.255328171179598</v>
      </c>
      <c r="Q42" s="51">
        <f t="shared" si="17"/>
        <v>0.25032817117959799</v>
      </c>
    </row>
    <row r="43" spans="2:17" x14ac:dyDescent="0.25">
      <c r="B43" t="s">
        <v>24</v>
      </c>
      <c r="C43" s="52">
        <v>0.01</v>
      </c>
      <c r="H43" s="28">
        <f t="shared" ref="H43:Q43" si="18">+H40+$C$43</f>
        <v>0.30422756943496704</v>
      </c>
      <c r="I43" s="28">
        <f t="shared" si="18"/>
        <v>0.296116059648934</v>
      </c>
      <c r="J43" s="28">
        <f t="shared" si="18"/>
        <v>0.29348515688992699</v>
      </c>
      <c r="K43" s="28">
        <f t="shared" si="18"/>
        <v>0.29032817117959803</v>
      </c>
      <c r="L43" s="28">
        <f t="shared" si="18"/>
        <v>0.28532817117959802</v>
      </c>
      <c r="M43" s="28">
        <f t="shared" si="18"/>
        <v>0.28032817117959802</v>
      </c>
      <c r="N43" s="28">
        <f t="shared" si="18"/>
        <v>0.27532817117959801</v>
      </c>
      <c r="O43" s="28">
        <f t="shared" si="18"/>
        <v>0.27032817117959801</v>
      </c>
      <c r="P43" s="28">
        <f t="shared" si="18"/>
        <v>0.265328171179598</v>
      </c>
      <c r="Q43" s="28">
        <f t="shared" si="18"/>
        <v>0.260328171179598</v>
      </c>
    </row>
    <row r="44" spans="2:17" x14ac:dyDescent="0.25">
      <c r="B44" s="53" t="s">
        <v>32</v>
      </c>
      <c r="C44" s="54"/>
      <c r="D44" s="54"/>
      <c r="E44" s="54"/>
      <c r="F44" s="54"/>
      <c r="G44" s="54"/>
      <c r="H44" s="55">
        <f t="shared" ref="H44:Q44" si="19">+CHOOSE($S$5,H41,H42,H43)</f>
        <v>0.29422756943496703</v>
      </c>
      <c r="I44" s="55">
        <f t="shared" si="19"/>
        <v>0.286116059648934</v>
      </c>
      <c r="J44" s="55">
        <f t="shared" si="19"/>
        <v>0.28348515688992698</v>
      </c>
      <c r="K44" s="55">
        <f t="shared" si="19"/>
        <v>0.28032817117959802</v>
      </c>
      <c r="L44" s="55">
        <f t="shared" si="19"/>
        <v>0.27532817117959801</v>
      </c>
      <c r="M44" s="55">
        <f t="shared" si="19"/>
        <v>0.27032817117959801</v>
      </c>
      <c r="N44" s="55">
        <f t="shared" si="19"/>
        <v>0.265328171179598</v>
      </c>
      <c r="O44" s="55">
        <f t="shared" si="19"/>
        <v>0.260328171179598</v>
      </c>
      <c r="P44" s="55">
        <f t="shared" si="19"/>
        <v>0.255328171179598</v>
      </c>
      <c r="Q44" s="56">
        <f t="shared" si="19"/>
        <v>0.25032817117959799</v>
      </c>
    </row>
    <row r="47" spans="2:17" x14ac:dyDescent="0.25">
      <c r="B47" s="39" t="s">
        <v>34</v>
      </c>
      <c r="C47" s="18"/>
      <c r="D47" s="18"/>
      <c r="E47" s="18"/>
      <c r="F47" s="18"/>
      <c r="G47" s="18"/>
      <c r="H47" s="48">
        <f>+MODL!D185/100</f>
        <v>2.3246103200434999E-2</v>
      </c>
      <c r="I47" s="48">
        <f>+MODL!E185/100</f>
        <v>2.5008072712089401E-2</v>
      </c>
      <c r="J47" s="48">
        <f>+MODL!F185/100</f>
        <v>2.5088867648223202E-2</v>
      </c>
      <c r="K47" s="48">
        <f>+MODL!G185/100</f>
        <v>2.8431598882535002E-2</v>
      </c>
      <c r="L47" s="48">
        <f>+MODL!H185/100</f>
        <v>2.8764932215868302E-2</v>
      </c>
      <c r="M47" s="48">
        <f>+MODL!I185/100</f>
        <v>2.8764932215868302E-2</v>
      </c>
      <c r="N47" s="48">
        <f>+MODL!J185/100</f>
        <v>2.8764932215868302E-2</v>
      </c>
      <c r="O47" s="48">
        <f>+MODL!K185/100</f>
        <v>2.8764932215868302E-2</v>
      </c>
      <c r="P47" s="48">
        <f>+MODL!L185/100</f>
        <v>2.8764932215868302E-2</v>
      </c>
      <c r="Q47" s="48">
        <f>+MODL!M185/100</f>
        <v>2.8764932215868302E-2</v>
      </c>
    </row>
    <row r="48" spans="2:17" x14ac:dyDescent="0.25">
      <c r="B48" t="s">
        <v>20</v>
      </c>
      <c r="C48" s="49">
        <v>3.0000000000000001E-3</v>
      </c>
      <c r="H48" s="28">
        <f t="shared" ref="H48:Q48" si="20">+H47-$C$48</f>
        <v>2.0246103200435E-2</v>
      </c>
      <c r="I48" s="28">
        <f t="shared" si="20"/>
        <v>2.2008072712089401E-2</v>
      </c>
      <c r="J48" s="28">
        <f t="shared" si="20"/>
        <v>2.2088867648223202E-2</v>
      </c>
      <c r="K48" s="28">
        <f t="shared" si="20"/>
        <v>2.5431598882535003E-2</v>
      </c>
      <c r="L48" s="28">
        <f t="shared" si="20"/>
        <v>2.5764932215868303E-2</v>
      </c>
      <c r="M48" s="28">
        <f t="shared" si="20"/>
        <v>2.5764932215868303E-2</v>
      </c>
      <c r="N48" s="28">
        <f t="shared" si="20"/>
        <v>2.5764932215868303E-2</v>
      </c>
      <c r="O48" s="28">
        <f t="shared" si="20"/>
        <v>2.5764932215868303E-2</v>
      </c>
      <c r="P48" s="28">
        <f t="shared" si="20"/>
        <v>2.5764932215868303E-2</v>
      </c>
      <c r="Q48" s="28">
        <f t="shared" si="20"/>
        <v>2.5764932215868303E-2</v>
      </c>
    </row>
    <row r="49" spans="2:17" x14ac:dyDescent="0.25">
      <c r="B49" s="57" t="s">
        <v>22</v>
      </c>
      <c r="C49" s="50">
        <v>0</v>
      </c>
      <c r="H49" s="51">
        <f t="shared" ref="H49:Q49" si="21">+H47+$C$49</f>
        <v>2.3246103200434999E-2</v>
      </c>
      <c r="I49" s="51">
        <f t="shared" si="21"/>
        <v>2.5008072712089401E-2</v>
      </c>
      <c r="J49" s="51">
        <f t="shared" si="21"/>
        <v>2.5088867648223202E-2</v>
      </c>
      <c r="K49" s="51">
        <f t="shared" si="21"/>
        <v>2.8431598882535002E-2</v>
      </c>
      <c r="L49" s="51">
        <f t="shared" si="21"/>
        <v>2.8764932215868302E-2</v>
      </c>
      <c r="M49" s="51">
        <f t="shared" si="21"/>
        <v>2.8764932215868302E-2</v>
      </c>
      <c r="N49" s="51">
        <f t="shared" si="21"/>
        <v>2.8764932215868302E-2</v>
      </c>
      <c r="O49" s="51">
        <f t="shared" si="21"/>
        <v>2.8764932215868302E-2</v>
      </c>
      <c r="P49" s="51">
        <f t="shared" si="21"/>
        <v>2.8764932215868302E-2</v>
      </c>
      <c r="Q49" s="51">
        <f t="shared" si="21"/>
        <v>2.8764932215868302E-2</v>
      </c>
    </row>
    <row r="50" spans="2:17" x14ac:dyDescent="0.25">
      <c r="B50" t="s">
        <v>24</v>
      </c>
      <c r="C50" s="52">
        <v>3.0000000000000001E-3</v>
      </c>
      <c r="H50" s="28">
        <f t="shared" ref="H50:Q50" si="22">+H47+$C$50</f>
        <v>2.6246103200434998E-2</v>
      </c>
      <c r="I50" s="28">
        <f t="shared" si="22"/>
        <v>2.80080727120894E-2</v>
      </c>
      <c r="J50" s="28">
        <f t="shared" si="22"/>
        <v>2.8088867648223201E-2</v>
      </c>
      <c r="K50" s="28">
        <f t="shared" si="22"/>
        <v>3.1431598882535002E-2</v>
      </c>
      <c r="L50" s="28">
        <f t="shared" si="22"/>
        <v>3.1764932215868305E-2</v>
      </c>
      <c r="M50" s="28">
        <f t="shared" si="22"/>
        <v>3.1764932215868305E-2</v>
      </c>
      <c r="N50" s="28">
        <f t="shared" si="22"/>
        <v>3.1764932215868305E-2</v>
      </c>
      <c r="O50" s="28">
        <f t="shared" si="22"/>
        <v>3.1764932215868305E-2</v>
      </c>
      <c r="P50" s="28">
        <f t="shared" si="22"/>
        <v>3.1764932215868305E-2</v>
      </c>
      <c r="Q50" s="28">
        <f t="shared" si="22"/>
        <v>3.1764932215868305E-2</v>
      </c>
    </row>
    <row r="51" spans="2:17" x14ac:dyDescent="0.25">
      <c r="B51" s="53" t="s">
        <v>32</v>
      </c>
      <c r="C51" s="54"/>
      <c r="D51" s="54"/>
      <c r="E51" s="54"/>
      <c r="F51" s="54"/>
      <c r="G51" s="54"/>
      <c r="H51" s="55">
        <f t="shared" ref="H51:Q51" si="23">+CHOOSE($S$5,H48,H49,H50)</f>
        <v>2.3246103200434999E-2</v>
      </c>
      <c r="I51" s="55">
        <f t="shared" si="23"/>
        <v>2.5008072712089401E-2</v>
      </c>
      <c r="J51" s="55">
        <f t="shared" si="23"/>
        <v>2.5088867648223202E-2</v>
      </c>
      <c r="K51" s="55">
        <f t="shared" si="23"/>
        <v>2.8431598882535002E-2</v>
      </c>
      <c r="L51" s="55">
        <f t="shared" si="23"/>
        <v>2.8764932215868302E-2</v>
      </c>
      <c r="M51" s="55">
        <f t="shared" si="23"/>
        <v>2.8764932215868302E-2</v>
      </c>
      <c r="N51" s="55">
        <f t="shared" si="23"/>
        <v>2.8764932215868302E-2</v>
      </c>
      <c r="O51" s="55">
        <f t="shared" si="23"/>
        <v>2.8764932215868302E-2</v>
      </c>
      <c r="P51" s="55">
        <f t="shared" si="23"/>
        <v>2.8764932215868302E-2</v>
      </c>
      <c r="Q51" s="56">
        <f t="shared" si="23"/>
        <v>2.8764932215868302E-2</v>
      </c>
    </row>
    <row r="54" spans="2:17" x14ac:dyDescent="0.25">
      <c r="B54" s="58" t="s">
        <v>35</v>
      </c>
      <c r="C54" s="59">
        <f>+CR!C26</f>
        <v>-1173</v>
      </c>
      <c r="D54" s="59">
        <f>+CR!D26</f>
        <v>408</v>
      </c>
      <c r="E54" s="59">
        <f>+CR!E26</f>
        <v>836</v>
      </c>
      <c r="F54" s="59">
        <f>+CR!F26</f>
        <v>1377</v>
      </c>
      <c r="G54" s="59">
        <f>+CR!G26</f>
        <v>-654</v>
      </c>
      <c r="H54" s="18"/>
      <c r="I54" s="18"/>
      <c r="J54" s="18"/>
      <c r="K54" s="18"/>
      <c r="L54" s="18"/>
      <c r="M54" s="18"/>
      <c r="N54" s="18"/>
      <c r="O54" s="18"/>
      <c r="P54" s="18"/>
      <c r="Q54" s="18"/>
    </row>
    <row r="55" spans="2:17" x14ac:dyDescent="0.25">
      <c r="B55" s="22" t="s">
        <v>20</v>
      </c>
      <c r="C55" s="60">
        <v>250</v>
      </c>
      <c r="H55" s="61">
        <f t="shared" ref="H55:Q55" si="24">+H56-$C$55</f>
        <v>-91.199999999999989</v>
      </c>
      <c r="I55" s="61">
        <f t="shared" si="24"/>
        <v>-91.199999999999989</v>
      </c>
      <c r="J55" s="61">
        <f t="shared" si="24"/>
        <v>-91.199999999999989</v>
      </c>
      <c r="K55" s="61">
        <f t="shared" si="24"/>
        <v>-91.199999999999989</v>
      </c>
      <c r="L55" s="61">
        <f t="shared" si="24"/>
        <v>-91.199999999999989</v>
      </c>
      <c r="M55" s="61">
        <f t="shared" si="24"/>
        <v>-91.199999999999989</v>
      </c>
      <c r="N55" s="61">
        <f t="shared" si="24"/>
        <v>-91.199999999999989</v>
      </c>
      <c r="O55" s="61">
        <f t="shared" si="24"/>
        <v>-91.199999999999989</v>
      </c>
      <c r="P55" s="61">
        <f t="shared" si="24"/>
        <v>-91.199999999999989</v>
      </c>
      <c r="Q55" s="61">
        <f t="shared" si="24"/>
        <v>-91.199999999999989</v>
      </c>
    </row>
    <row r="56" spans="2:17" x14ac:dyDescent="0.25">
      <c r="B56" s="22" t="s">
        <v>22</v>
      </c>
      <c r="C56" s="62">
        <v>0</v>
      </c>
      <c r="H56" s="61">
        <f t="shared" ref="H56:Q56" si="25">+AVERAGE($C$54:$G$54)</f>
        <v>158.80000000000001</v>
      </c>
      <c r="I56" s="61">
        <f t="shared" si="25"/>
        <v>158.80000000000001</v>
      </c>
      <c r="J56" s="61">
        <f t="shared" si="25"/>
        <v>158.80000000000001</v>
      </c>
      <c r="K56" s="61">
        <f t="shared" si="25"/>
        <v>158.80000000000001</v>
      </c>
      <c r="L56" s="61">
        <f t="shared" si="25"/>
        <v>158.80000000000001</v>
      </c>
      <c r="M56" s="61">
        <f t="shared" si="25"/>
        <v>158.80000000000001</v>
      </c>
      <c r="N56" s="61">
        <f t="shared" si="25"/>
        <v>158.80000000000001</v>
      </c>
      <c r="O56" s="61">
        <f t="shared" si="25"/>
        <v>158.80000000000001</v>
      </c>
      <c r="P56" s="61">
        <f t="shared" si="25"/>
        <v>158.80000000000001</v>
      </c>
      <c r="Q56" s="61">
        <f t="shared" si="25"/>
        <v>158.80000000000001</v>
      </c>
    </row>
    <row r="57" spans="2:17" x14ac:dyDescent="0.25">
      <c r="B57" s="22" t="s">
        <v>24</v>
      </c>
      <c r="C57" s="63">
        <v>250</v>
      </c>
      <c r="H57" s="61">
        <f t="shared" ref="H57:Q57" si="26">+H56+$C$57</f>
        <v>408.8</v>
      </c>
      <c r="I57" s="61">
        <f t="shared" si="26"/>
        <v>408.8</v>
      </c>
      <c r="J57" s="61">
        <f t="shared" si="26"/>
        <v>408.8</v>
      </c>
      <c r="K57" s="61">
        <f t="shared" si="26"/>
        <v>408.8</v>
      </c>
      <c r="L57" s="61">
        <f t="shared" si="26"/>
        <v>408.8</v>
      </c>
      <c r="M57" s="61">
        <f t="shared" si="26"/>
        <v>408.8</v>
      </c>
      <c r="N57" s="61">
        <f t="shared" si="26"/>
        <v>408.8</v>
      </c>
      <c r="O57" s="61">
        <f t="shared" si="26"/>
        <v>408.8</v>
      </c>
      <c r="P57" s="61">
        <f t="shared" si="26"/>
        <v>408.8</v>
      </c>
      <c r="Q57" s="61">
        <f t="shared" si="26"/>
        <v>408.8</v>
      </c>
    </row>
    <row r="58" spans="2:17" x14ac:dyDescent="0.25">
      <c r="B58" s="45" t="s">
        <v>32</v>
      </c>
      <c r="C58" s="54"/>
      <c r="D58" s="54"/>
      <c r="E58" s="54"/>
      <c r="F58" s="54"/>
      <c r="G58" s="54"/>
      <c r="H58" s="64">
        <f t="shared" ref="H58:Q58" si="27">+CHOOSE($S$5,H55,H56,H57)</f>
        <v>158.80000000000001</v>
      </c>
      <c r="I58" s="64">
        <f t="shared" si="27"/>
        <v>158.80000000000001</v>
      </c>
      <c r="J58" s="64">
        <f t="shared" si="27"/>
        <v>158.80000000000001</v>
      </c>
      <c r="K58" s="64">
        <f t="shared" si="27"/>
        <v>158.80000000000001</v>
      </c>
      <c r="L58" s="64">
        <f t="shared" si="27"/>
        <v>158.80000000000001</v>
      </c>
      <c r="M58" s="64">
        <f t="shared" si="27"/>
        <v>158.80000000000001</v>
      </c>
      <c r="N58" s="64">
        <f t="shared" si="27"/>
        <v>158.80000000000001</v>
      </c>
      <c r="O58" s="64">
        <f t="shared" si="27"/>
        <v>158.80000000000001</v>
      </c>
      <c r="P58" s="64">
        <f t="shared" si="27"/>
        <v>158.80000000000001</v>
      </c>
      <c r="Q58" s="65">
        <f t="shared" si="27"/>
        <v>158.80000000000001</v>
      </c>
    </row>
    <row r="59" spans="2:17" x14ac:dyDescent="0.25">
      <c r="B59" s="66"/>
      <c r="C59" s="67"/>
      <c r="D59" s="67"/>
      <c r="E59" s="67"/>
      <c r="F59" s="67"/>
      <c r="G59" s="67"/>
      <c r="H59" s="68"/>
      <c r="I59" s="68"/>
      <c r="J59" s="68"/>
      <c r="K59" s="68"/>
      <c r="L59" s="68"/>
      <c r="M59" s="68"/>
      <c r="N59" s="68"/>
      <c r="O59" s="68"/>
      <c r="P59" s="68"/>
      <c r="Q59" s="68"/>
    </row>
    <row r="61" spans="2:17" x14ac:dyDescent="0.25">
      <c r="B61" s="58" t="s">
        <v>36</v>
      </c>
      <c r="C61" s="59">
        <f>+CR!C28</f>
        <v>378</v>
      </c>
      <c r="D61" s="59">
        <f>+CR!D28</f>
        <v>117</v>
      </c>
      <c r="E61" s="59">
        <f>+CR!E28</f>
        <v>191</v>
      </c>
      <c r="F61" s="59">
        <f>+CR!F28</f>
        <v>133</v>
      </c>
      <c r="G61" s="59">
        <f>+CR!G28</f>
        <v>97</v>
      </c>
      <c r="H61" s="69">
        <f t="shared" ref="H61:Q61" si="28">+AVERAGE($D$61:$G$61)</f>
        <v>134.5</v>
      </c>
      <c r="I61" s="69">
        <f t="shared" si="28"/>
        <v>134.5</v>
      </c>
      <c r="J61" s="69">
        <f t="shared" si="28"/>
        <v>134.5</v>
      </c>
      <c r="K61" s="69">
        <f t="shared" si="28"/>
        <v>134.5</v>
      </c>
      <c r="L61" s="69">
        <f t="shared" si="28"/>
        <v>134.5</v>
      </c>
      <c r="M61" s="69">
        <f t="shared" si="28"/>
        <v>134.5</v>
      </c>
      <c r="N61" s="69">
        <f t="shared" si="28"/>
        <v>134.5</v>
      </c>
      <c r="O61" s="69">
        <f t="shared" si="28"/>
        <v>134.5</v>
      </c>
      <c r="P61" s="69">
        <f t="shared" si="28"/>
        <v>134.5</v>
      </c>
      <c r="Q61" s="69">
        <f t="shared" si="28"/>
        <v>134.5</v>
      </c>
    </row>
    <row r="64" spans="2:17" x14ac:dyDescent="0.25">
      <c r="B64" s="39" t="s">
        <v>37</v>
      </c>
      <c r="C64" s="41">
        <f>+CR!C32/CR!C31</f>
        <v>0.21094567404426559</v>
      </c>
      <c r="D64" s="41">
        <f>+CR!D32/CR!D31</f>
        <v>0.18098579496833819</v>
      </c>
      <c r="E64" s="41">
        <f>+CR!E32/CR!E31</f>
        <v>0.17364113650401483</v>
      </c>
      <c r="F64" s="41">
        <f>+CR!F32/CR!F31</f>
        <v>0.18622955830658719</v>
      </c>
      <c r="G64" s="41">
        <f>+CR!G32/CR!G31</f>
        <v>0.17883485435679461</v>
      </c>
      <c r="H64" s="39"/>
      <c r="I64" s="39"/>
      <c r="J64" s="39"/>
      <c r="K64" s="39"/>
      <c r="L64" s="39"/>
      <c r="M64" s="39"/>
      <c r="N64" s="39"/>
      <c r="O64" s="39"/>
      <c r="P64" s="39"/>
      <c r="Q64" s="39"/>
    </row>
    <row r="65" spans="2:20" x14ac:dyDescent="0.25">
      <c r="B65" s="22" t="s">
        <v>20</v>
      </c>
      <c r="C65" s="70">
        <v>0.01</v>
      </c>
      <c r="H65" s="28">
        <f t="shared" ref="H65:Q65" si="29">+H66-$C$65</f>
        <v>0.17612740363600005</v>
      </c>
      <c r="I65" s="28">
        <f t="shared" si="29"/>
        <v>0.17612740363600005</v>
      </c>
      <c r="J65" s="28">
        <f t="shared" si="29"/>
        <v>0.17612740363600005</v>
      </c>
      <c r="K65" s="28">
        <f t="shared" si="29"/>
        <v>0.17612740363600005</v>
      </c>
      <c r="L65" s="28">
        <f t="shared" si="29"/>
        <v>0.17612740363600005</v>
      </c>
      <c r="M65" s="28">
        <f t="shared" si="29"/>
        <v>0.17612740363600005</v>
      </c>
      <c r="N65" s="28">
        <f t="shared" si="29"/>
        <v>0.17612740363600005</v>
      </c>
      <c r="O65" s="28">
        <f t="shared" si="29"/>
        <v>0.17612740363600005</v>
      </c>
      <c r="P65" s="28">
        <f t="shared" si="29"/>
        <v>0.17612740363600005</v>
      </c>
      <c r="Q65" s="28">
        <f t="shared" si="29"/>
        <v>0.17612740363600005</v>
      </c>
    </row>
    <row r="66" spans="2:20" x14ac:dyDescent="0.25">
      <c r="B66" s="22" t="s">
        <v>22</v>
      </c>
      <c r="C66" s="71">
        <v>0</v>
      </c>
      <c r="H66" s="28">
        <f t="shared" ref="H66:Q66" si="30">+AVERAGE($C$64:$G$64)+$C$66</f>
        <v>0.18612740363600005</v>
      </c>
      <c r="I66" s="28">
        <f t="shared" si="30"/>
        <v>0.18612740363600005</v>
      </c>
      <c r="J66" s="28">
        <f t="shared" si="30"/>
        <v>0.18612740363600005</v>
      </c>
      <c r="K66" s="28">
        <f t="shared" si="30"/>
        <v>0.18612740363600005</v>
      </c>
      <c r="L66" s="28">
        <f t="shared" si="30"/>
        <v>0.18612740363600005</v>
      </c>
      <c r="M66" s="28">
        <f t="shared" si="30"/>
        <v>0.18612740363600005</v>
      </c>
      <c r="N66" s="28">
        <f t="shared" si="30"/>
        <v>0.18612740363600005</v>
      </c>
      <c r="O66" s="28">
        <f t="shared" si="30"/>
        <v>0.18612740363600005</v>
      </c>
      <c r="P66" s="28">
        <f t="shared" si="30"/>
        <v>0.18612740363600005</v>
      </c>
      <c r="Q66" s="28">
        <f t="shared" si="30"/>
        <v>0.18612740363600005</v>
      </c>
    </row>
    <row r="67" spans="2:20" x14ac:dyDescent="0.25">
      <c r="B67" s="22" t="s">
        <v>24</v>
      </c>
      <c r="C67" s="71">
        <v>0.01</v>
      </c>
      <c r="H67" s="28">
        <f t="shared" ref="H67:Q67" si="31">+H66+$C$67</f>
        <v>0.19612740363600006</v>
      </c>
      <c r="I67" s="28">
        <f t="shared" si="31"/>
        <v>0.19612740363600006</v>
      </c>
      <c r="J67" s="28">
        <f t="shared" si="31"/>
        <v>0.19612740363600006</v>
      </c>
      <c r="K67" s="28">
        <f t="shared" si="31"/>
        <v>0.19612740363600006</v>
      </c>
      <c r="L67" s="28">
        <f t="shared" si="31"/>
        <v>0.19612740363600006</v>
      </c>
      <c r="M67" s="28">
        <f t="shared" si="31"/>
        <v>0.19612740363600006</v>
      </c>
      <c r="N67" s="28">
        <f t="shared" si="31"/>
        <v>0.19612740363600006</v>
      </c>
      <c r="O67" s="28">
        <f t="shared" si="31"/>
        <v>0.19612740363600006</v>
      </c>
      <c r="P67" s="28">
        <f t="shared" si="31"/>
        <v>0.19612740363600006</v>
      </c>
      <c r="Q67" s="28">
        <f t="shared" si="31"/>
        <v>0.19612740363600006</v>
      </c>
    </row>
    <row r="68" spans="2:20" x14ac:dyDescent="0.25">
      <c r="B68" s="45" t="s">
        <v>32</v>
      </c>
      <c r="C68" s="54"/>
      <c r="D68" s="54"/>
      <c r="E68" s="54"/>
      <c r="F68" s="54"/>
      <c r="G68" s="54"/>
      <c r="H68" s="47">
        <f t="shared" ref="H68:Q68" si="32">+CHOOSE($S$5, H65, H66, H67)</f>
        <v>0.18612740363600005</v>
      </c>
      <c r="I68" s="47">
        <f t="shared" si="32"/>
        <v>0.18612740363600005</v>
      </c>
      <c r="J68" s="47">
        <f t="shared" si="32"/>
        <v>0.18612740363600005</v>
      </c>
      <c r="K68" s="47">
        <f t="shared" si="32"/>
        <v>0.18612740363600005</v>
      </c>
      <c r="L68" s="47">
        <f t="shared" si="32"/>
        <v>0.18612740363600005</v>
      </c>
      <c r="M68" s="47">
        <f t="shared" si="32"/>
        <v>0.18612740363600005</v>
      </c>
      <c r="N68" s="47">
        <f t="shared" si="32"/>
        <v>0.18612740363600005</v>
      </c>
      <c r="O68" s="47">
        <f t="shared" si="32"/>
        <v>0.18612740363600005</v>
      </c>
      <c r="P68" s="47">
        <f t="shared" si="32"/>
        <v>0.18612740363600005</v>
      </c>
      <c r="Q68" s="72">
        <f t="shared" si="32"/>
        <v>0.18612740363600005</v>
      </c>
    </row>
    <row r="72" spans="2:20" x14ac:dyDescent="0.25">
      <c r="B72" s="302" t="s">
        <v>38</v>
      </c>
      <c r="C72" s="302"/>
      <c r="D72" s="302"/>
      <c r="E72" s="302"/>
      <c r="F72" s="302"/>
      <c r="G72" s="302"/>
      <c r="H72" s="302"/>
      <c r="I72" s="302"/>
      <c r="J72" s="302"/>
      <c r="K72" s="302"/>
      <c r="L72" s="302"/>
      <c r="M72" s="302"/>
      <c r="N72" s="302"/>
      <c r="O72" s="302"/>
      <c r="P72" s="302"/>
      <c r="Q72" s="302"/>
    </row>
    <row r="74" spans="2:20" x14ac:dyDescent="0.25">
      <c r="B74" s="39" t="s">
        <v>39</v>
      </c>
      <c r="C74" s="73">
        <f>+'Balance Sheet'!C10/CR!C6*365</f>
        <v>33.159501267525485</v>
      </c>
      <c r="D74" s="73">
        <f>+'Balance Sheet'!D10/CR!D6*365</f>
        <v>29.567323328532268</v>
      </c>
      <c r="E74" s="73">
        <f>+'Balance Sheet'!E10/CR!E6*365</f>
        <v>27.18526122662939</v>
      </c>
      <c r="F74" s="73">
        <f>+'Balance Sheet'!F10/CR!F6*365</f>
        <v>27.777576390813913</v>
      </c>
      <c r="G74" s="73">
        <f>+'Balance Sheet'!G10/CR!G6*365</f>
        <v>23.071657442470144</v>
      </c>
      <c r="H74" s="18"/>
      <c r="I74" s="18"/>
      <c r="J74" s="18"/>
      <c r="K74" s="18"/>
      <c r="L74" s="18"/>
      <c r="M74" s="18"/>
      <c r="N74" s="18"/>
      <c r="O74" s="18"/>
      <c r="P74" s="18"/>
      <c r="Q74" s="18"/>
      <c r="S74" s="304" t="s">
        <v>40</v>
      </c>
      <c r="T74" s="304"/>
    </row>
    <row r="75" spans="2:20" x14ac:dyDescent="0.25">
      <c r="B75" t="s">
        <v>20</v>
      </c>
      <c r="C75" s="74">
        <v>0.1</v>
      </c>
      <c r="H75" s="75">
        <f t="shared" ref="H75:Q75" si="33">+H76*(1-$C$75)</f>
        <v>25.337037538074821</v>
      </c>
      <c r="I75" s="75">
        <f t="shared" si="33"/>
        <v>25.337037538074821</v>
      </c>
      <c r="J75" s="75">
        <f t="shared" si="33"/>
        <v>25.337037538074821</v>
      </c>
      <c r="K75" s="75">
        <f t="shared" si="33"/>
        <v>25.337037538074821</v>
      </c>
      <c r="L75" s="75">
        <f t="shared" si="33"/>
        <v>25.337037538074821</v>
      </c>
      <c r="M75" s="75">
        <f t="shared" si="33"/>
        <v>25.337037538074821</v>
      </c>
      <c r="N75" s="75">
        <f t="shared" si="33"/>
        <v>25.337037538074821</v>
      </c>
      <c r="O75" s="75">
        <f t="shared" si="33"/>
        <v>25.337037538074821</v>
      </c>
      <c r="P75" s="75">
        <f t="shared" si="33"/>
        <v>25.337037538074821</v>
      </c>
      <c r="Q75" s="75">
        <f t="shared" si="33"/>
        <v>25.337037538074821</v>
      </c>
      <c r="S75" s="20" t="s">
        <v>20</v>
      </c>
      <c r="T75" s="21">
        <v>1</v>
      </c>
    </row>
    <row r="76" spans="2:20" x14ac:dyDescent="0.25">
      <c r="B76" t="s">
        <v>22</v>
      </c>
      <c r="C76" s="76">
        <v>0</v>
      </c>
      <c r="H76" s="75">
        <f t="shared" ref="H76:Q76" si="34">+AVERAGE($C$74:$G$74)*(1+$C$76)</f>
        <v>28.152263931194245</v>
      </c>
      <c r="I76" s="75">
        <f t="shared" si="34"/>
        <v>28.152263931194245</v>
      </c>
      <c r="J76" s="75">
        <f t="shared" si="34"/>
        <v>28.152263931194245</v>
      </c>
      <c r="K76" s="75">
        <f t="shared" si="34"/>
        <v>28.152263931194245</v>
      </c>
      <c r="L76" s="75">
        <f t="shared" si="34"/>
        <v>28.152263931194245</v>
      </c>
      <c r="M76" s="75">
        <f t="shared" si="34"/>
        <v>28.152263931194245</v>
      </c>
      <c r="N76" s="75">
        <f t="shared" si="34"/>
        <v>28.152263931194245</v>
      </c>
      <c r="O76" s="75">
        <f t="shared" si="34"/>
        <v>28.152263931194245</v>
      </c>
      <c r="P76" s="75">
        <f t="shared" si="34"/>
        <v>28.152263931194245</v>
      </c>
      <c r="Q76" s="75">
        <f t="shared" si="34"/>
        <v>28.152263931194245</v>
      </c>
      <c r="S76" s="20" t="s">
        <v>22</v>
      </c>
      <c r="T76" s="21">
        <v>2</v>
      </c>
    </row>
    <row r="77" spans="2:20" x14ac:dyDescent="0.25">
      <c r="B77" t="s">
        <v>24</v>
      </c>
      <c r="C77" s="77">
        <v>0.1</v>
      </c>
      <c r="H77" s="75">
        <f t="shared" ref="H77:Q77" si="35">+H76*(1+$C$77)</f>
        <v>30.967490324313673</v>
      </c>
      <c r="I77" s="75">
        <f t="shared" si="35"/>
        <v>30.967490324313673</v>
      </c>
      <c r="J77" s="75">
        <f t="shared" si="35"/>
        <v>30.967490324313673</v>
      </c>
      <c r="K77" s="75">
        <f t="shared" si="35"/>
        <v>30.967490324313673</v>
      </c>
      <c r="L77" s="75">
        <f t="shared" si="35"/>
        <v>30.967490324313673</v>
      </c>
      <c r="M77" s="75">
        <f t="shared" si="35"/>
        <v>30.967490324313673</v>
      </c>
      <c r="N77" s="75">
        <f t="shared" si="35"/>
        <v>30.967490324313673</v>
      </c>
      <c r="O77" s="75">
        <f t="shared" si="35"/>
        <v>30.967490324313673</v>
      </c>
      <c r="P77" s="75">
        <f t="shared" si="35"/>
        <v>30.967490324313673</v>
      </c>
      <c r="Q77" s="75">
        <f t="shared" si="35"/>
        <v>30.967490324313673</v>
      </c>
      <c r="S77" s="20" t="s">
        <v>24</v>
      </c>
      <c r="T77" s="21">
        <v>3</v>
      </c>
    </row>
    <row r="78" spans="2:20" x14ac:dyDescent="0.25">
      <c r="B78" s="53" t="s">
        <v>32</v>
      </c>
      <c r="C78" s="54"/>
      <c r="D78" s="54"/>
      <c r="E78" s="54"/>
      <c r="F78" s="54"/>
      <c r="G78" s="54"/>
      <c r="H78" s="78">
        <f t="shared" ref="H78:Q78" si="36">+CHOOSE($S$78,H75,H76,H77)</f>
        <v>28.152263931194245</v>
      </c>
      <c r="I78" s="78">
        <f t="shared" si="36"/>
        <v>28.152263931194245</v>
      </c>
      <c r="J78" s="78">
        <f t="shared" si="36"/>
        <v>28.152263931194245</v>
      </c>
      <c r="K78" s="78">
        <f t="shared" si="36"/>
        <v>28.152263931194245</v>
      </c>
      <c r="L78" s="78">
        <f t="shared" si="36"/>
        <v>28.152263931194245</v>
      </c>
      <c r="M78" s="78">
        <f t="shared" si="36"/>
        <v>28.152263931194245</v>
      </c>
      <c r="N78" s="78">
        <f t="shared" si="36"/>
        <v>28.152263931194245</v>
      </c>
      <c r="O78" s="78">
        <f t="shared" si="36"/>
        <v>28.152263931194245</v>
      </c>
      <c r="P78" s="78">
        <f t="shared" si="36"/>
        <v>28.152263931194245</v>
      </c>
      <c r="Q78" s="79">
        <f t="shared" si="36"/>
        <v>28.152263931194245</v>
      </c>
      <c r="S78" s="303">
        <v>2</v>
      </c>
      <c r="T78" s="303"/>
    </row>
    <row r="80" spans="2:20" x14ac:dyDescent="0.25">
      <c r="B80" s="39" t="s">
        <v>41</v>
      </c>
      <c r="C80" s="80">
        <f>+'Balance Sheet'!C43/CR!C6</f>
        <v>0.11904392363805681</v>
      </c>
      <c r="D80" s="80">
        <f>+'Balance Sheet'!D43/CR!D6</f>
        <v>0.12328671653579891</v>
      </c>
      <c r="E80" s="80">
        <f>+'Balance Sheet'!E43/CR!E6</f>
        <v>0.12209505504106238</v>
      </c>
      <c r="F80" s="80">
        <f>+'Balance Sheet'!F43/CR!F6</f>
        <v>0.11659594430347357</v>
      </c>
      <c r="G80" s="80">
        <f>+'Balance Sheet'!G43/CR!G6</f>
        <v>0.1175356830760268</v>
      </c>
      <c r="H80" s="18"/>
      <c r="I80" s="18"/>
      <c r="J80" s="18"/>
      <c r="K80" s="18"/>
      <c r="L80" s="18"/>
      <c r="M80" s="18"/>
      <c r="N80" s="18"/>
      <c r="O80" s="18"/>
      <c r="P80" s="18"/>
      <c r="Q80" s="18"/>
      <c r="S80" s="304" t="s">
        <v>42</v>
      </c>
      <c r="T80" s="304"/>
    </row>
    <row r="81" spans="2:20" x14ac:dyDescent="0.25">
      <c r="B81" t="s">
        <v>20</v>
      </c>
      <c r="C81" s="74">
        <v>0.1</v>
      </c>
      <c r="H81" s="28">
        <f t="shared" ref="H81:Q81" si="37">+H82*(1+$C$81)</f>
        <v>0.13168261097077208</v>
      </c>
      <c r="I81" s="28">
        <f t="shared" si="37"/>
        <v>0.13168261097077208</v>
      </c>
      <c r="J81" s="28">
        <f t="shared" si="37"/>
        <v>0.13168261097077208</v>
      </c>
      <c r="K81" s="28">
        <f t="shared" si="37"/>
        <v>0.13168261097077208</v>
      </c>
      <c r="L81" s="28">
        <f t="shared" si="37"/>
        <v>0.13168261097077208</v>
      </c>
      <c r="M81" s="28">
        <f t="shared" si="37"/>
        <v>0.13168261097077208</v>
      </c>
      <c r="N81" s="28">
        <f t="shared" si="37"/>
        <v>0.13168261097077208</v>
      </c>
      <c r="O81" s="28">
        <f t="shared" si="37"/>
        <v>0.13168261097077208</v>
      </c>
      <c r="P81" s="28">
        <f t="shared" si="37"/>
        <v>0.13168261097077208</v>
      </c>
      <c r="Q81" s="28">
        <f t="shared" si="37"/>
        <v>0.13168261097077208</v>
      </c>
      <c r="S81" s="20" t="s">
        <v>20</v>
      </c>
      <c r="T81" s="21">
        <v>1</v>
      </c>
    </row>
    <row r="82" spans="2:20" x14ac:dyDescent="0.25">
      <c r="B82" t="s">
        <v>22</v>
      </c>
      <c r="C82" s="76">
        <v>0</v>
      </c>
      <c r="H82" s="28">
        <f t="shared" ref="H82:Q82" si="38">+AVERAGE($C$80:$G$80)*(1+$C$82)</f>
        <v>0.1197114645188837</v>
      </c>
      <c r="I82" s="28">
        <f t="shared" si="38"/>
        <v>0.1197114645188837</v>
      </c>
      <c r="J82" s="28">
        <f t="shared" si="38"/>
        <v>0.1197114645188837</v>
      </c>
      <c r="K82" s="28">
        <f t="shared" si="38"/>
        <v>0.1197114645188837</v>
      </c>
      <c r="L82" s="28">
        <f t="shared" si="38"/>
        <v>0.1197114645188837</v>
      </c>
      <c r="M82" s="28">
        <f t="shared" si="38"/>
        <v>0.1197114645188837</v>
      </c>
      <c r="N82" s="28">
        <f t="shared" si="38"/>
        <v>0.1197114645188837</v>
      </c>
      <c r="O82" s="28">
        <f t="shared" si="38"/>
        <v>0.1197114645188837</v>
      </c>
      <c r="P82" s="28">
        <f t="shared" si="38"/>
        <v>0.1197114645188837</v>
      </c>
      <c r="Q82" s="28">
        <f t="shared" si="38"/>
        <v>0.1197114645188837</v>
      </c>
      <c r="S82" s="20" t="s">
        <v>22</v>
      </c>
      <c r="T82" s="21">
        <v>2</v>
      </c>
    </row>
    <row r="83" spans="2:20" x14ac:dyDescent="0.25">
      <c r="B83" t="s">
        <v>24</v>
      </c>
      <c r="C83" s="77">
        <v>0.1</v>
      </c>
      <c r="H83" s="28">
        <f t="shared" ref="H83:Q83" si="39">+H82*(1-$C$83)</f>
        <v>0.10774031806699534</v>
      </c>
      <c r="I83" s="28">
        <f t="shared" si="39"/>
        <v>0.10774031806699534</v>
      </c>
      <c r="J83" s="28">
        <f t="shared" si="39"/>
        <v>0.10774031806699534</v>
      </c>
      <c r="K83" s="28">
        <f t="shared" si="39"/>
        <v>0.10774031806699534</v>
      </c>
      <c r="L83" s="28">
        <f t="shared" si="39"/>
        <v>0.10774031806699534</v>
      </c>
      <c r="M83" s="28">
        <f t="shared" si="39"/>
        <v>0.10774031806699534</v>
      </c>
      <c r="N83" s="28">
        <f t="shared" si="39"/>
        <v>0.10774031806699534</v>
      </c>
      <c r="O83" s="28">
        <f t="shared" si="39"/>
        <v>0.10774031806699534</v>
      </c>
      <c r="P83" s="28">
        <f t="shared" si="39"/>
        <v>0.10774031806699534</v>
      </c>
      <c r="Q83" s="28">
        <f t="shared" si="39"/>
        <v>0.10774031806699534</v>
      </c>
      <c r="S83" s="20" t="s">
        <v>24</v>
      </c>
      <c r="T83" s="21">
        <v>3</v>
      </c>
    </row>
    <row r="84" spans="2:20" x14ac:dyDescent="0.25">
      <c r="B84" s="53" t="s">
        <v>32</v>
      </c>
      <c r="C84" s="54"/>
      <c r="D84" s="54"/>
      <c r="E84" s="54"/>
      <c r="F84" s="54"/>
      <c r="G84" s="54"/>
      <c r="H84" s="55">
        <f t="shared" ref="H84:Q84" si="40">+CHOOSE($S$84,H81,H82,H83)</f>
        <v>0.1197114645188837</v>
      </c>
      <c r="I84" s="55">
        <f t="shared" si="40"/>
        <v>0.1197114645188837</v>
      </c>
      <c r="J84" s="55">
        <f t="shared" si="40"/>
        <v>0.1197114645188837</v>
      </c>
      <c r="K84" s="55">
        <f t="shared" si="40"/>
        <v>0.1197114645188837</v>
      </c>
      <c r="L84" s="55">
        <f t="shared" si="40"/>
        <v>0.1197114645188837</v>
      </c>
      <c r="M84" s="55">
        <f t="shared" si="40"/>
        <v>0.1197114645188837</v>
      </c>
      <c r="N84" s="55">
        <f t="shared" si="40"/>
        <v>0.1197114645188837</v>
      </c>
      <c r="O84" s="55">
        <f t="shared" si="40"/>
        <v>0.1197114645188837</v>
      </c>
      <c r="P84" s="55">
        <f t="shared" si="40"/>
        <v>0.1197114645188837</v>
      </c>
      <c r="Q84" s="56">
        <f t="shared" si="40"/>
        <v>0.1197114645188837</v>
      </c>
      <c r="S84" s="303">
        <v>2</v>
      </c>
      <c r="T84" s="303"/>
    </row>
    <row r="86" spans="2:20" x14ac:dyDescent="0.25">
      <c r="B86" s="39" t="s">
        <v>43</v>
      </c>
      <c r="C86" s="73">
        <f>+'Balance Sheet'!C13/CR!C8*365</f>
        <v>80.863724853990917</v>
      </c>
      <c r="D86" s="73">
        <f>+'Balance Sheet'!D13/CR!D8*365</f>
        <v>84.971951823131491</v>
      </c>
      <c r="E86" s="73">
        <f>+'Balance Sheet'!E13/CR!E8*365</f>
        <v>87.449769834822646</v>
      </c>
      <c r="F86" s="73">
        <f>+'Balance Sheet'!F13/CR!F8*365</f>
        <v>94.539279062123384</v>
      </c>
      <c r="G86" s="73">
        <f>+'Balance Sheet'!G13/CR!G8*365</f>
        <v>88.422478922588411</v>
      </c>
      <c r="H86" s="18"/>
      <c r="I86" s="18"/>
      <c r="J86" s="18"/>
      <c r="K86" s="18"/>
      <c r="L86" s="18"/>
      <c r="M86" s="18"/>
      <c r="N86" s="18"/>
      <c r="O86" s="18"/>
      <c r="P86" s="18"/>
      <c r="Q86" s="18"/>
      <c r="S86" s="304" t="s">
        <v>44</v>
      </c>
      <c r="T86" s="304"/>
    </row>
    <row r="87" spans="2:20" x14ac:dyDescent="0.25">
      <c r="B87" t="s">
        <v>20</v>
      </c>
      <c r="C87" s="74">
        <v>0.1</v>
      </c>
      <c r="H87" s="75">
        <f t="shared" ref="H87:Q87" si="41">+H88*(1-$C$87)</f>
        <v>78.524496809398244</v>
      </c>
      <c r="I87" s="75">
        <f t="shared" si="41"/>
        <v>78.524496809398244</v>
      </c>
      <c r="J87" s="75">
        <f t="shared" si="41"/>
        <v>78.524496809398244</v>
      </c>
      <c r="K87" s="75">
        <f t="shared" si="41"/>
        <v>78.524496809398244</v>
      </c>
      <c r="L87" s="75">
        <f t="shared" si="41"/>
        <v>78.524496809398244</v>
      </c>
      <c r="M87" s="75">
        <f t="shared" si="41"/>
        <v>78.524496809398244</v>
      </c>
      <c r="N87" s="75">
        <f t="shared" si="41"/>
        <v>78.524496809398244</v>
      </c>
      <c r="O87" s="75">
        <f t="shared" si="41"/>
        <v>78.524496809398244</v>
      </c>
      <c r="P87" s="75">
        <f t="shared" si="41"/>
        <v>78.524496809398244</v>
      </c>
      <c r="Q87" s="75">
        <f t="shared" si="41"/>
        <v>78.524496809398244</v>
      </c>
      <c r="S87" s="20" t="s">
        <v>20</v>
      </c>
      <c r="T87" s="21">
        <v>1</v>
      </c>
    </row>
    <row r="88" spans="2:20" x14ac:dyDescent="0.25">
      <c r="B88" s="57" t="s">
        <v>22</v>
      </c>
      <c r="C88" s="76">
        <v>0</v>
      </c>
      <c r="H88" s="75">
        <f t="shared" ref="H88:Q88" si="42">+AVERAGE($C$86:$G$86)*(1+$C$88)</f>
        <v>87.249440899331375</v>
      </c>
      <c r="I88" s="75">
        <f t="shared" si="42"/>
        <v>87.249440899331375</v>
      </c>
      <c r="J88" s="75">
        <f t="shared" si="42"/>
        <v>87.249440899331375</v>
      </c>
      <c r="K88" s="75">
        <f t="shared" si="42"/>
        <v>87.249440899331375</v>
      </c>
      <c r="L88" s="75">
        <f t="shared" si="42"/>
        <v>87.249440899331375</v>
      </c>
      <c r="M88" s="75">
        <f t="shared" si="42"/>
        <v>87.249440899331375</v>
      </c>
      <c r="N88" s="75">
        <f t="shared" si="42"/>
        <v>87.249440899331375</v>
      </c>
      <c r="O88" s="75">
        <f t="shared" si="42"/>
        <v>87.249440899331375</v>
      </c>
      <c r="P88" s="75">
        <f t="shared" si="42"/>
        <v>87.249440899331375</v>
      </c>
      <c r="Q88" s="75">
        <f t="shared" si="42"/>
        <v>87.249440899331375</v>
      </c>
      <c r="S88" s="20" t="s">
        <v>22</v>
      </c>
      <c r="T88" s="21">
        <v>2</v>
      </c>
    </row>
    <row r="89" spans="2:20" x14ac:dyDescent="0.25">
      <c r="B89" t="s">
        <v>24</v>
      </c>
      <c r="C89" s="77">
        <v>0.1</v>
      </c>
      <c r="H89" s="75">
        <f t="shared" ref="H89:Q89" si="43">+H88*(1+$C$89)</f>
        <v>95.974384989264522</v>
      </c>
      <c r="I89" s="75">
        <f t="shared" si="43"/>
        <v>95.974384989264522</v>
      </c>
      <c r="J89" s="75">
        <f t="shared" si="43"/>
        <v>95.974384989264522</v>
      </c>
      <c r="K89" s="75">
        <f t="shared" si="43"/>
        <v>95.974384989264522</v>
      </c>
      <c r="L89" s="75">
        <f t="shared" si="43"/>
        <v>95.974384989264522</v>
      </c>
      <c r="M89" s="75">
        <f t="shared" si="43"/>
        <v>95.974384989264522</v>
      </c>
      <c r="N89" s="75">
        <f t="shared" si="43"/>
        <v>95.974384989264522</v>
      </c>
      <c r="O89" s="75">
        <f t="shared" si="43"/>
        <v>95.974384989264522</v>
      </c>
      <c r="P89" s="75">
        <f t="shared" si="43"/>
        <v>95.974384989264522</v>
      </c>
      <c r="Q89" s="75">
        <f t="shared" si="43"/>
        <v>95.974384989264522</v>
      </c>
      <c r="S89" s="20" t="s">
        <v>24</v>
      </c>
      <c r="T89" s="21">
        <v>3</v>
      </c>
    </row>
    <row r="90" spans="2:20" x14ac:dyDescent="0.25">
      <c r="B90" s="53" t="s">
        <v>32</v>
      </c>
      <c r="C90" s="54"/>
      <c r="D90" s="54"/>
      <c r="E90" s="54"/>
      <c r="F90" s="54"/>
      <c r="G90" s="54"/>
      <c r="H90" s="78">
        <f t="shared" ref="H90:Q90" si="44">+CHOOSE($S$90,H87,H88,H89)</f>
        <v>87.249440899331375</v>
      </c>
      <c r="I90" s="78">
        <f t="shared" si="44"/>
        <v>87.249440899331375</v>
      </c>
      <c r="J90" s="78">
        <f t="shared" si="44"/>
        <v>87.249440899331375</v>
      </c>
      <c r="K90" s="78">
        <f t="shared" si="44"/>
        <v>87.249440899331375</v>
      </c>
      <c r="L90" s="78">
        <f t="shared" si="44"/>
        <v>87.249440899331375</v>
      </c>
      <c r="M90" s="78">
        <f t="shared" si="44"/>
        <v>87.249440899331375</v>
      </c>
      <c r="N90" s="78">
        <f t="shared" si="44"/>
        <v>87.249440899331375</v>
      </c>
      <c r="O90" s="78">
        <f t="shared" si="44"/>
        <v>87.249440899331375</v>
      </c>
      <c r="P90" s="78">
        <f t="shared" si="44"/>
        <v>87.249440899331375</v>
      </c>
      <c r="Q90" s="79">
        <f t="shared" si="44"/>
        <v>87.249440899331375</v>
      </c>
      <c r="S90" s="303">
        <v>2</v>
      </c>
      <c r="T90" s="303"/>
    </row>
    <row r="92" spans="2:20" x14ac:dyDescent="0.25">
      <c r="B92" s="39" t="s">
        <v>45</v>
      </c>
      <c r="C92" s="80">
        <f>+'Balance Sheet'!C46/CR!C6</f>
        <v>0.24967665166330386</v>
      </c>
      <c r="D92" s="80">
        <f>+'Balance Sheet'!D46/CR!D6</f>
        <v>0.23056730009757004</v>
      </c>
      <c r="E92" s="80">
        <f>+'Balance Sheet'!E46/CR!E6</f>
        <v>0.20188275380045431</v>
      </c>
      <c r="F92" s="80">
        <f>+'Balance Sheet'!F46/CR!F6</f>
        <v>0.33714310083800669</v>
      </c>
      <c r="G92" s="80">
        <f>+'Balance Sheet'!G46/CR!G6</f>
        <v>0.17756231534268238</v>
      </c>
      <c r="H92" s="18"/>
      <c r="I92" s="18"/>
      <c r="J92" s="18"/>
      <c r="K92" s="18"/>
      <c r="L92" s="18"/>
      <c r="M92" s="18"/>
      <c r="N92" s="18"/>
      <c r="O92" s="18"/>
      <c r="P92" s="18"/>
      <c r="Q92" s="18"/>
      <c r="S92" s="304" t="s">
        <v>46</v>
      </c>
      <c r="T92" s="304"/>
    </row>
    <row r="93" spans="2:20" x14ac:dyDescent="0.25">
      <c r="B93" t="s">
        <v>20</v>
      </c>
      <c r="C93" s="74">
        <v>0.1</v>
      </c>
      <c r="H93" s="28">
        <f t="shared" ref="H93:Q93" si="45">+H94*(1+$C$93)</f>
        <v>0.19531854687695063</v>
      </c>
      <c r="I93" s="28">
        <f t="shared" si="45"/>
        <v>0.19531854687695063</v>
      </c>
      <c r="J93" s="28">
        <f t="shared" si="45"/>
        <v>0.19531854687695063</v>
      </c>
      <c r="K93" s="28">
        <f t="shared" si="45"/>
        <v>0.19531854687695063</v>
      </c>
      <c r="L93" s="28">
        <f t="shared" si="45"/>
        <v>0.19531854687695063</v>
      </c>
      <c r="M93" s="28">
        <f t="shared" si="45"/>
        <v>0.19531854687695063</v>
      </c>
      <c r="N93" s="28">
        <f t="shared" si="45"/>
        <v>0.19531854687695063</v>
      </c>
      <c r="O93" s="28">
        <f t="shared" si="45"/>
        <v>0.19531854687695063</v>
      </c>
      <c r="P93" s="28">
        <f t="shared" si="45"/>
        <v>0.19531854687695063</v>
      </c>
      <c r="Q93" s="28">
        <f t="shared" si="45"/>
        <v>0.19531854687695063</v>
      </c>
      <c r="S93" s="20" t="s">
        <v>20</v>
      </c>
      <c r="T93" s="21">
        <v>1</v>
      </c>
    </row>
    <row r="94" spans="2:20" x14ac:dyDescent="0.25">
      <c r="B94" s="57" t="s">
        <v>22</v>
      </c>
      <c r="C94" s="76">
        <v>0</v>
      </c>
      <c r="H94" s="28">
        <f t="shared" ref="H94:Q94" si="46">+$G$92*(1+$C$94)</f>
        <v>0.17756231534268238</v>
      </c>
      <c r="I94" s="28">
        <f t="shared" si="46"/>
        <v>0.17756231534268238</v>
      </c>
      <c r="J94" s="28">
        <f t="shared" si="46"/>
        <v>0.17756231534268238</v>
      </c>
      <c r="K94" s="28">
        <f t="shared" si="46"/>
        <v>0.17756231534268238</v>
      </c>
      <c r="L94" s="28">
        <f t="shared" si="46"/>
        <v>0.17756231534268238</v>
      </c>
      <c r="M94" s="28">
        <f t="shared" si="46"/>
        <v>0.17756231534268238</v>
      </c>
      <c r="N94" s="28">
        <f t="shared" si="46"/>
        <v>0.17756231534268238</v>
      </c>
      <c r="O94" s="28">
        <f t="shared" si="46"/>
        <v>0.17756231534268238</v>
      </c>
      <c r="P94" s="28">
        <f t="shared" si="46"/>
        <v>0.17756231534268238</v>
      </c>
      <c r="Q94" s="28">
        <f t="shared" si="46"/>
        <v>0.17756231534268238</v>
      </c>
      <c r="S94" s="20" t="s">
        <v>22</v>
      </c>
      <c r="T94" s="21">
        <v>2</v>
      </c>
    </row>
    <row r="95" spans="2:20" x14ac:dyDescent="0.25">
      <c r="B95" t="s">
        <v>24</v>
      </c>
      <c r="C95" s="77">
        <v>0.1</v>
      </c>
      <c r="H95" s="28">
        <f t="shared" ref="H95:Q95" si="47">+H94*(1-$C$95)</f>
        <v>0.15980608380841416</v>
      </c>
      <c r="I95" s="28">
        <f t="shared" si="47"/>
        <v>0.15980608380841416</v>
      </c>
      <c r="J95" s="28">
        <f t="shared" si="47"/>
        <v>0.15980608380841416</v>
      </c>
      <c r="K95" s="28">
        <f t="shared" si="47"/>
        <v>0.15980608380841416</v>
      </c>
      <c r="L95" s="28">
        <f t="shared" si="47"/>
        <v>0.15980608380841416</v>
      </c>
      <c r="M95" s="28">
        <f t="shared" si="47"/>
        <v>0.15980608380841416</v>
      </c>
      <c r="N95" s="28">
        <f t="shared" si="47"/>
        <v>0.15980608380841416</v>
      </c>
      <c r="O95" s="28">
        <f t="shared" si="47"/>
        <v>0.15980608380841416</v>
      </c>
      <c r="P95" s="28">
        <f t="shared" si="47"/>
        <v>0.15980608380841416</v>
      </c>
      <c r="Q95" s="28">
        <f t="shared" si="47"/>
        <v>0.15980608380841416</v>
      </c>
      <c r="S95" s="20" t="s">
        <v>24</v>
      </c>
      <c r="T95" s="21">
        <v>3</v>
      </c>
    </row>
    <row r="96" spans="2:20" x14ac:dyDescent="0.25">
      <c r="B96" s="53" t="s">
        <v>32</v>
      </c>
      <c r="C96" s="54"/>
      <c r="D96" s="54"/>
      <c r="E96" s="54"/>
      <c r="F96" s="54"/>
      <c r="G96" s="54"/>
      <c r="H96" s="55">
        <f t="shared" ref="H96:Q96" si="48">+CHOOSE($S$96,H93,H94,H95)</f>
        <v>0.17756231534268238</v>
      </c>
      <c r="I96" s="55">
        <f t="shared" si="48"/>
        <v>0.17756231534268238</v>
      </c>
      <c r="J96" s="55">
        <f t="shared" si="48"/>
        <v>0.17756231534268238</v>
      </c>
      <c r="K96" s="55">
        <f t="shared" si="48"/>
        <v>0.17756231534268238</v>
      </c>
      <c r="L96" s="55">
        <f t="shared" si="48"/>
        <v>0.17756231534268238</v>
      </c>
      <c r="M96" s="55">
        <f t="shared" si="48"/>
        <v>0.17756231534268238</v>
      </c>
      <c r="N96" s="55">
        <f t="shared" si="48"/>
        <v>0.17756231534268238</v>
      </c>
      <c r="O96" s="55">
        <f t="shared" si="48"/>
        <v>0.17756231534268238</v>
      </c>
      <c r="P96" s="55">
        <f t="shared" si="48"/>
        <v>0.17756231534268238</v>
      </c>
      <c r="Q96" s="55">
        <f t="shared" si="48"/>
        <v>0.17756231534268238</v>
      </c>
      <c r="S96" s="303">
        <v>2</v>
      </c>
      <c r="T96" s="303"/>
    </row>
    <row r="98" spans="2:20" x14ac:dyDescent="0.25">
      <c r="B98" s="39" t="s">
        <v>47</v>
      </c>
      <c r="C98" s="80">
        <f>+'Balance Sheet'!C44/CR!C32</f>
        <v>0.26173216329645171</v>
      </c>
      <c r="D98" s="80">
        <f>+'Balance Sheet'!D44/CR!D32</f>
        <v>0.5687943262411348</v>
      </c>
      <c r="E98" s="80">
        <f>+'Balance Sheet'!E44/CR!E32</f>
        <v>0.69764339706536238</v>
      </c>
      <c r="F98" s="80">
        <f>+'Balance Sheet'!F44/CR!F32</f>
        <v>0.56914238818219121</v>
      </c>
      <c r="G98" s="80">
        <f>+'Balance Sheet'!G44/CR!G32</f>
        <v>0.18350227193289059</v>
      </c>
      <c r="H98" s="18"/>
      <c r="I98" s="18"/>
      <c r="J98" s="18"/>
      <c r="K98" s="18"/>
      <c r="L98" s="18"/>
      <c r="M98" s="18"/>
      <c r="N98" s="18"/>
      <c r="O98" s="18"/>
      <c r="P98" s="18"/>
      <c r="Q98" s="18"/>
      <c r="S98" s="304" t="s">
        <v>48</v>
      </c>
      <c r="T98" s="304"/>
    </row>
    <row r="99" spans="2:20" x14ac:dyDescent="0.25">
      <c r="B99" t="s">
        <v>20</v>
      </c>
      <c r="C99" s="74">
        <v>0.1</v>
      </c>
      <c r="H99" s="28">
        <f t="shared" ref="H99:Q99" si="49">+H100*(1+$C$99)</f>
        <v>0.20185249912617967</v>
      </c>
      <c r="I99" s="28">
        <f t="shared" si="49"/>
        <v>0.20185249912617967</v>
      </c>
      <c r="J99" s="28">
        <f t="shared" si="49"/>
        <v>0.20185249912617967</v>
      </c>
      <c r="K99" s="28">
        <f t="shared" si="49"/>
        <v>0.20185249912617967</v>
      </c>
      <c r="L99" s="28">
        <f t="shared" si="49"/>
        <v>0.20185249912617967</v>
      </c>
      <c r="M99" s="28">
        <f t="shared" si="49"/>
        <v>0.20185249912617967</v>
      </c>
      <c r="N99" s="28">
        <f t="shared" si="49"/>
        <v>0.20185249912617967</v>
      </c>
      <c r="O99" s="28">
        <f t="shared" si="49"/>
        <v>0.20185249912617967</v>
      </c>
      <c r="P99" s="28">
        <f t="shared" si="49"/>
        <v>0.20185249912617967</v>
      </c>
      <c r="Q99" s="28">
        <f t="shared" si="49"/>
        <v>0.20185249912617967</v>
      </c>
      <c r="S99" s="20" t="s">
        <v>20</v>
      </c>
      <c r="T99" s="21">
        <v>1</v>
      </c>
    </row>
    <row r="100" spans="2:20" x14ac:dyDescent="0.25">
      <c r="B100" s="57" t="s">
        <v>22</v>
      </c>
      <c r="C100" s="76">
        <v>0</v>
      </c>
      <c r="H100" s="28">
        <f t="shared" ref="H100:Q100" si="50">+$G$98*(1+$C$100)</f>
        <v>0.18350227193289059</v>
      </c>
      <c r="I100" s="28">
        <f t="shared" si="50"/>
        <v>0.18350227193289059</v>
      </c>
      <c r="J100" s="28">
        <f t="shared" si="50"/>
        <v>0.18350227193289059</v>
      </c>
      <c r="K100" s="28">
        <f t="shared" si="50"/>
        <v>0.18350227193289059</v>
      </c>
      <c r="L100" s="28">
        <f t="shared" si="50"/>
        <v>0.18350227193289059</v>
      </c>
      <c r="M100" s="28">
        <f t="shared" si="50"/>
        <v>0.18350227193289059</v>
      </c>
      <c r="N100" s="28">
        <f t="shared" si="50"/>
        <v>0.18350227193289059</v>
      </c>
      <c r="O100" s="28">
        <f t="shared" si="50"/>
        <v>0.18350227193289059</v>
      </c>
      <c r="P100" s="28">
        <f t="shared" si="50"/>
        <v>0.18350227193289059</v>
      </c>
      <c r="Q100" s="28">
        <f t="shared" si="50"/>
        <v>0.18350227193289059</v>
      </c>
      <c r="S100" s="20" t="s">
        <v>22</v>
      </c>
      <c r="T100" s="21">
        <v>2</v>
      </c>
    </row>
    <row r="101" spans="2:20" x14ac:dyDescent="0.25">
      <c r="B101" t="s">
        <v>24</v>
      </c>
      <c r="C101" s="77">
        <v>0.1</v>
      </c>
      <c r="H101" s="28">
        <f t="shared" ref="H101:Q101" si="51">+H100*(1-$C$101)</f>
        <v>0.16515204473960154</v>
      </c>
      <c r="I101" s="28">
        <f t="shared" si="51"/>
        <v>0.16515204473960154</v>
      </c>
      <c r="J101" s="28">
        <f t="shared" si="51"/>
        <v>0.16515204473960154</v>
      </c>
      <c r="K101" s="28">
        <f t="shared" si="51"/>
        <v>0.16515204473960154</v>
      </c>
      <c r="L101" s="28">
        <f t="shared" si="51"/>
        <v>0.16515204473960154</v>
      </c>
      <c r="M101" s="28">
        <f t="shared" si="51"/>
        <v>0.16515204473960154</v>
      </c>
      <c r="N101" s="28">
        <f t="shared" si="51"/>
        <v>0.16515204473960154</v>
      </c>
      <c r="O101" s="28">
        <f t="shared" si="51"/>
        <v>0.16515204473960154</v>
      </c>
      <c r="P101" s="28">
        <f t="shared" si="51"/>
        <v>0.16515204473960154</v>
      </c>
      <c r="Q101" s="28">
        <f t="shared" si="51"/>
        <v>0.16515204473960154</v>
      </c>
      <c r="S101" s="20" t="s">
        <v>24</v>
      </c>
      <c r="T101" s="21">
        <v>3</v>
      </c>
    </row>
    <row r="102" spans="2:20" x14ac:dyDescent="0.25">
      <c r="B102" s="53" t="s">
        <v>32</v>
      </c>
      <c r="C102" s="54"/>
      <c r="D102" s="54"/>
      <c r="E102" s="54"/>
      <c r="F102" s="54"/>
      <c r="G102" s="54"/>
      <c r="H102" s="55">
        <f t="shared" ref="H102:Q102" si="52">+CHOOSE($S$102,H99,H100,H101)</f>
        <v>0.18350227193289059</v>
      </c>
      <c r="I102" s="55">
        <f t="shared" si="52"/>
        <v>0.18350227193289059</v>
      </c>
      <c r="J102" s="55">
        <f t="shared" si="52"/>
        <v>0.18350227193289059</v>
      </c>
      <c r="K102" s="55">
        <f t="shared" si="52"/>
        <v>0.18350227193289059</v>
      </c>
      <c r="L102" s="55">
        <f t="shared" si="52"/>
        <v>0.18350227193289059</v>
      </c>
      <c r="M102" s="55">
        <f t="shared" si="52"/>
        <v>0.18350227193289059</v>
      </c>
      <c r="N102" s="55">
        <f t="shared" si="52"/>
        <v>0.18350227193289059</v>
      </c>
      <c r="O102" s="55">
        <f t="shared" si="52"/>
        <v>0.18350227193289059</v>
      </c>
      <c r="P102" s="55">
        <f t="shared" si="52"/>
        <v>0.18350227193289059</v>
      </c>
      <c r="Q102" s="56">
        <f t="shared" si="52"/>
        <v>0.18350227193289059</v>
      </c>
      <c r="S102" s="306">
        <v>2</v>
      </c>
      <c r="T102" s="306"/>
    </row>
    <row r="104" spans="2:20" x14ac:dyDescent="0.25">
      <c r="B104" s="39" t="s">
        <v>49</v>
      </c>
      <c r="C104" s="41">
        <f>+-FC!C23/CR!C6</f>
        <v>3.5361374101091622E-2</v>
      </c>
      <c r="D104" s="41">
        <f>+-FC!D23/CR!D6</f>
        <v>3.4474747944059844E-2</v>
      </c>
      <c r="E104" s="41">
        <f>+-FC!E23/CR!E6</f>
        <v>4.0450812510920843E-2</v>
      </c>
      <c r="F104" s="41">
        <f>+-FC!F23/CR!F6</f>
        <v>4.4011344009211674E-2</v>
      </c>
      <c r="G104" s="41">
        <f>+-FC!G23/CR!G6</f>
        <v>4.3943239981690314E-2</v>
      </c>
      <c r="H104" s="18"/>
      <c r="I104" s="18"/>
      <c r="J104" s="18"/>
      <c r="K104" s="18"/>
      <c r="L104" s="18"/>
      <c r="M104" s="18"/>
      <c r="N104" s="18"/>
      <c r="O104" s="18"/>
      <c r="P104" s="18"/>
      <c r="Q104" s="18"/>
    </row>
    <row r="105" spans="2:20" x14ac:dyDescent="0.25">
      <c r="B105" t="s">
        <v>20</v>
      </c>
      <c r="C105" s="42">
        <v>5.0000000000000001E-3</v>
      </c>
      <c r="H105" s="81">
        <f t="shared" ref="H105:Q105" si="53">+H106+$C$105</f>
        <v>4.7801798833940944E-2</v>
      </c>
      <c r="I105" s="81">
        <f t="shared" si="53"/>
        <v>4.7801798833940944E-2</v>
      </c>
      <c r="J105" s="81">
        <f t="shared" si="53"/>
        <v>4.7801798833940944E-2</v>
      </c>
      <c r="K105" s="81">
        <f t="shared" si="53"/>
        <v>4.7801798833940944E-2</v>
      </c>
      <c r="L105" s="81">
        <f t="shared" si="53"/>
        <v>4.7801798833940944E-2</v>
      </c>
      <c r="M105" s="81">
        <f t="shared" si="53"/>
        <v>4.7801798833940944E-2</v>
      </c>
      <c r="N105" s="81">
        <f t="shared" si="53"/>
        <v>4.7801798833940944E-2</v>
      </c>
      <c r="O105" s="81">
        <f t="shared" si="53"/>
        <v>4.7801798833940944E-2</v>
      </c>
      <c r="P105" s="81">
        <f t="shared" si="53"/>
        <v>4.7801798833940944E-2</v>
      </c>
      <c r="Q105" s="81">
        <f t="shared" si="53"/>
        <v>4.7801798833940944E-2</v>
      </c>
    </row>
    <row r="106" spans="2:20" x14ac:dyDescent="0.25">
      <c r="B106" s="57" t="s">
        <v>22</v>
      </c>
      <c r="C106" s="43">
        <v>0</v>
      </c>
      <c r="H106" s="81">
        <f t="shared" ref="H106:Q106" si="54">+AVERAGE($E$104:$G$104)+$C$106</f>
        <v>4.2801798833940946E-2</v>
      </c>
      <c r="I106" s="81">
        <f t="shared" si="54"/>
        <v>4.2801798833940946E-2</v>
      </c>
      <c r="J106" s="81">
        <f t="shared" si="54"/>
        <v>4.2801798833940946E-2</v>
      </c>
      <c r="K106" s="81">
        <f t="shared" si="54"/>
        <v>4.2801798833940946E-2</v>
      </c>
      <c r="L106" s="81">
        <f t="shared" si="54"/>
        <v>4.2801798833940946E-2</v>
      </c>
      <c r="M106" s="81">
        <f t="shared" si="54"/>
        <v>4.2801798833940946E-2</v>
      </c>
      <c r="N106" s="81">
        <f t="shared" si="54"/>
        <v>4.2801798833940946E-2</v>
      </c>
      <c r="O106" s="81">
        <f t="shared" si="54"/>
        <v>4.2801798833940946E-2</v>
      </c>
      <c r="P106" s="81">
        <f t="shared" si="54"/>
        <v>4.2801798833940946E-2</v>
      </c>
      <c r="Q106" s="81">
        <f t="shared" si="54"/>
        <v>4.2801798833940946E-2</v>
      </c>
    </row>
    <row r="107" spans="2:20" x14ac:dyDescent="0.25">
      <c r="B107" t="s">
        <v>24</v>
      </c>
      <c r="C107" s="44">
        <v>5.0000000000000001E-3</v>
      </c>
      <c r="H107" s="81">
        <f t="shared" ref="H107:Q107" si="55">+H106-$C$107</f>
        <v>3.7801798833940949E-2</v>
      </c>
      <c r="I107" s="81">
        <f t="shared" si="55"/>
        <v>3.7801798833940949E-2</v>
      </c>
      <c r="J107" s="81">
        <f t="shared" si="55"/>
        <v>3.7801798833940949E-2</v>
      </c>
      <c r="K107" s="81">
        <f t="shared" si="55"/>
        <v>3.7801798833940949E-2</v>
      </c>
      <c r="L107" s="81">
        <f t="shared" si="55"/>
        <v>3.7801798833940949E-2</v>
      </c>
      <c r="M107" s="81">
        <f t="shared" si="55"/>
        <v>3.7801798833940949E-2</v>
      </c>
      <c r="N107" s="81">
        <f t="shared" si="55"/>
        <v>3.7801798833940949E-2</v>
      </c>
      <c r="O107" s="81">
        <f t="shared" si="55"/>
        <v>3.7801798833940949E-2</v>
      </c>
      <c r="P107" s="81">
        <f t="shared" si="55"/>
        <v>3.7801798833940949E-2</v>
      </c>
      <c r="Q107" s="81">
        <f t="shared" si="55"/>
        <v>3.7801798833940949E-2</v>
      </c>
    </row>
    <row r="108" spans="2:20" x14ac:dyDescent="0.25">
      <c r="B108" s="53" t="s">
        <v>32</v>
      </c>
      <c r="C108" s="54"/>
      <c r="D108" s="54"/>
      <c r="E108" s="54"/>
      <c r="F108" s="54"/>
      <c r="G108" s="54"/>
      <c r="H108" s="47">
        <f t="shared" ref="H108:Q108" si="56">+CHOOSE($S$5, H105, H106, H107)</f>
        <v>4.2801798833940946E-2</v>
      </c>
      <c r="I108" s="47">
        <f t="shared" si="56"/>
        <v>4.2801798833940946E-2</v>
      </c>
      <c r="J108" s="47">
        <f t="shared" si="56"/>
        <v>4.2801798833940946E-2</v>
      </c>
      <c r="K108" s="47">
        <f t="shared" si="56"/>
        <v>4.2801798833940946E-2</v>
      </c>
      <c r="L108" s="47">
        <f t="shared" si="56"/>
        <v>4.2801798833940946E-2</v>
      </c>
      <c r="M108" s="47">
        <f t="shared" si="56"/>
        <v>4.2801798833940946E-2</v>
      </c>
      <c r="N108" s="47">
        <f t="shared" si="56"/>
        <v>4.2801798833940946E-2</v>
      </c>
      <c r="O108" s="47">
        <f t="shared" si="56"/>
        <v>4.2801798833940946E-2</v>
      </c>
      <c r="P108" s="47">
        <f t="shared" si="56"/>
        <v>4.2801798833940946E-2</v>
      </c>
      <c r="Q108" s="72">
        <f t="shared" si="56"/>
        <v>4.2801798833940946E-2</v>
      </c>
    </row>
    <row r="112" spans="2:20" x14ac:dyDescent="0.25">
      <c r="B112" s="302" t="s">
        <v>50</v>
      </c>
      <c r="C112" s="302"/>
      <c r="D112" s="302"/>
      <c r="E112" s="302"/>
      <c r="F112" s="302"/>
      <c r="G112" s="302"/>
      <c r="H112" s="302"/>
      <c r="I112" s="302"/>
      <c r="J112" s="302"/>
      <c r="K112" s="302"/>
      <c r="L112" s="302"/>
      <c r="M112" s="302"/>
      <c r="N112" s="302"/>
      <c r="O112" s="302"/>
      <c r="P112" s="302"/>
      <c r="Q112" s="302"/>
    </row>
    <row r="114" spans="2:17" x14ac:dyDescent="0.25">
      <c r="B114" s="39" t="s">
        <v>51</v>
      </c>
      <c r="C114" s="41">
        <f>+CR!C55/CR!C50-1</f>
        <v>5.7937427578216294E-3</v>
      </c>
      <c r="D114" s="41">
        <f>+CR!D55/CR!D50-1</f>
        <v>5.0831792975969403E-3</v>
      </c>
      <c r="E114" s="41">
        <f>+CR!E55/CR!E50-1</f>
        <v>3.7011334721257505E-3</v>
      </c>
      <c r="F114" s="41">
        <f>+CR!F55/CR!F50-1</f>
        <v>2.5527964724993968E-3</v>
      </c>
      <c r="G114" s="41">
        <f>+CR!G55/CR!G50-1</f>
        <v>2.3239600278874839E-3</v>
      </c>
      <c r="H114" s="82">
        <f t="shared" ref="H114:Q114" si="57">+AVERAGE($C$114:$G$114)</f>
        <v>3.8909624055862404E-3</v>
      </c>
      <c r="I114" s="82">
        <f t="shared" si="57"/>
        <v>3.8909624055862404E-3</v>
      </c>
      <c r="J114" s="82">
        <f t="shared" si="57"/>
        <v>3.8909624055862404E-3</v>
      </c>
      <c r="K114" s="82">
        <f t="shared" si="57"/>
        <v>3.8909624055862404E-3</v>
      </c>
      <c r="L114" s="82">
        <f t="shared" si="57"/>
        <v>3.8909624055862404E-3</v>
      </c>
      <c r="M114" s="82">
        <f t="shared" si="57"/>
        <v>3.8909624055862404E-3</v>
      </c>
      <c r="N114" s="82">
        <f t="shared" si="57"/>
        <v>3.8909624055862404E-3</v>
      </c>
      <c r="O114" s="82">
        <f t="shared" si="57"/>
        <v>3.8909624055862404E-3</v>
      </c>
      <c r="P114" s="82">
        <f t="shared" si="57"/>
        <v>3.8909624055862404E-3</v>
      </c>
      <c r="Q114" s="82">
        <f t="shared" si="57"/>
        <v>3.8909624055862404E-3</v>
      </c>
    </row>
    <row r="116" spans="2:17" x14ac:dyDescent="0.25">
      <c r="B116" s="39" t="s">
        <v>52</v>
      </c>
      <c r="C116" s="41">
        <f>+-FC!C38/IS!C51</f>
        <v>0.74219629515914443</v>
      </c>
      <c r="D116" s="41">
        <f>+-FC!D38/IS!D51</f>
        <v>0.79815552295116332</v>
      </c>
      <c r="E116" s="41">
        <f>+-FC!E38/IS!E51</f>
        <v>0.74220645883890235</v>
      </c>
      <c r="F116" s="41">
        <f>+-FC!F38/IS!F51</f>
        <v>0.78628539177876022</v>
      </c>
      <c r="G116" s="41">
        <f>+-FC!G38/IS!G51</f>
        <v>0.66979476615548939</v>
      </c>
      <c r="H116" s="18"/>
      <c r="I116" s="18"/>
      <c r="J116" s="18"/>
      <c r="K116" s="18"/>
      <c r="L116" s="18"/>
      <c r="M116" s="18"/>
      <c r="N116" s="18"/>
      <c r="O116" s="18"/>
      <c r="P116" s="18"/>
      <c r="Q116" s="18"/>
    </row>
    <row r="117" spans="2:17" x14ac:dyDescent="0.25">
      <c r="B117" t="s">
        <v>20</v>
      </c>
      <c r="C117" s="49">
        <v>0.02</v>
      </c>
      <c r="H117" s="28">
        <f t="shared" ref="H117:Q117" si="58">+H118+$C$117</f>
        <v>0.75276220559105067</v>
      </c>
      <c r="I117" s="28">
        <f t="shared" si="58"/>
        <v>0.75276220559105067</v>
      </c>
      <c r="J117" s="28">
        <f t="shared" si="58"/>
        <v>0.75276220559105067</v>
      </c>
      <c r="K117" s="28">
        <f t="shared" si="58"/>
        <v>0.75276220559105067</v>
      </c>
      <c r="L117" s="28">
        <f t="shared" si="58"/>
        <v>0.75276220559105067</v>
      </c>
      <c r="M117" s="28">
        <f t="shared" si="58"/>
        <v>0.75276220559105067</v>
      </c>
      <c r="N117" s="28">
        <f t="shared" si="58"/>
        <v>0.75276220559105067</v>
      </c>
      <c r="O117" s="28">
        <f t="shared" si="58"/>
        <v>0.75276220559105067</v>
      </c>
      <c r="P117" s="28">
        <f t="shared" si="58"/>
        <v>0.75276220559105067</v>
      </c>
      <c r="Q117" s="28">
        <f t="shared" si="58"/>
        <v>0.75276220559105067</v>
      </c>
    </row>
    <row r="118" spans="2:17" x14ac:dyDescent="0.25">
      <c r="B118" s="57" t="s">
        <v>22</v>
      </c>
      <c r="C118" s="50">
        <v>0</v>
      </c>
      <c r="H118" s="28">
        <f t="shared" ref="H118:Q118" si="59">+AVERAGE($E$116:$G$116)+$C$118</f>
        <v>0.73276220559105065</v>
      </c>
      <c r="I118" s="28">
        <f t="shared" si="59"/>
        <v>0.73276220559105065</v>
      </c>
      <c r="J118" s="28">
        <f t="shared" si="59"/>
        <v>0.73276220559105065</v>
      </c>
      <c r="K118" s="28">
        <f t="shared" si="59"/>
        <v>0.73276220559105065</v>
      </c>
      <c r="L118" s="28">
        <f t="shared" si="59"/>
        <v>0.73276220559105065</v>
      </c>
      <c r="M118" s="28">
        <f t="shared" si="59"/>
        <v>0.73276220559105065</v>
      </c>
      <c r="N118" s="28">
        <f t="shared" si="59"/>
        <v>0.73276220559105065</v>
      </c>
      <c r="O118" s="28">
        <f t="shared" si="59"/>
        <v>0.73276220559105065</v>
      </c>
      <c r="P118" s="28">
        <f t="shared" si="59"/>
        <v>0.73276220559105065</v>
      </c>
      <c r="Q118" s="28">
        <f t="shared" si="59"/>
        <v>0.73276220559105065</v>
      </c>
    </row>
    <row r="119" spans="2:17" x14ac:dyDescent="0.25">
      <c r="B119" t="s">
        <v>24</v>
      </c>
      <c r="C119" s="52">
        <v>0.02</v>
      </c>
      <c r="H119" s="28">
        <f t="shared" ref="H119:Q119" si="60">+H118-$C$119</f>
        <v>0.71276220559105063</v>
      </c>
      <c r="I119" s="28">
        <f t="shared" si="60"/>
        <v>0.71276220559105063</v>
      </c>
      <c r="J119" s="28">
        <f t="shared" si="60"/>
        <v>0.71276220559105063</v>
      </c>
      <c r="K119" s="28">
        <f t="shared" si="60"/>
        <v>0.71276220559105063</v>
      </c>
      <c r="L119" s="28">
        <f t="shared" si="60"/>
        <v>0.71276220559105063</v>
      </c>
      <c r="M119" s="28">
        <f t="shared" si="60"/>
        <v>0.71276220559105063</v>
      </c>
      <c r="N119" s="28">
        <f t="shared" si="60"/>
        <v>0.71276220559105063</v>
      </c>
      <c r="O119" s="28">
        <f t="shared" si="60"/>
        <v>0.71276220559105063</v>
      </c>
      <c r="P119" s="28">
        <f t="shared" si="60"/>
        <v>0.71276220559105063</v>
      </c>
      <c r="Q119" s="28">
        <f t="shared" si="60"/>
        <v>0.71276220559105063</v>
      </c>
    </row>
    <row r="120" spans="2:17" x14ac:dyDescent="0.25">
      <c r="B120" s="53" t="s">
        <v>32</v>
      </c>
      <c r="C120" s="54"/>
      <c r="D120" s="54"/>
      <c r="E120" s="54"/>
      <c r="F120" s="54"/>
      <c r="G120" s="54"/>
      <c r="H120" s="47">
        <f t="shared" ref="H120:Q120" si="61">+CHOOSE($S$5, H117, H118, H119)</f>
        <v>0.73276220559105065</v>
      </c>
      <c r="I120" s="47">
        <f t="shared" si="61"/>
        <v>0.73276220559105065</v>
      </c>
      <c r="J120" s="47">
        <f t="shared" si="61"/>
        <v>0.73276220559105065</v>
      </c>
      <c r="K120" s="47">
        <f t="shared" si="61"/>
        <v>0.73276220559105065</v>
      </c>
      <c r="L120" s="47">
        <f t="shared" si="61"/>
        <v>0.73276220559105065</v>
      </c>
      <c r="M120" s="47">
        <f t="shared" si="61"/>
        <v>0.73276220559105065</v>
      </c>
      <c r="N120" s="47">
        <f t="shared" si="61"/>
        <v>0.73276220559105065</v>
      </c>
      <c r="O120" s="47">
        <f t="shared" si="61"/>
        <v>0.73276220559105065</v>
      </c>
      <c r="P120" s="47">
        <f t="shared" si="61"/>
        <v>0.73276220559105065</v>
      </c>
      <c r="Q120" s="72">
        <f t="shared" si="61"/>
        <v>0.73276220559105065</v>
      </c>
    </row>
    <row r="122" spans="2:17" x14ac:dyDescent="0.25">
      <c r="B122" s="39" t="s">
        <v>53</v>
      </c>
      <c r="C122" s="80">
        <f>+FC!C10/CR!C6</f>
        <v>8.7174711573283666E-3</v>
      </c>
      <c r="D122" s="80">
        <f>+FC!D10/CR!D6</f>
        <v>8.270222552618129E-3</v>
      </c>
      <c r="E122" s="80">
        <f>+FC!E10/CR!E6</f>
        <v>5.5477896208282369E-3</v>
      </c>
      <c r="F122" s="80">
        <f>+FC!F10/CR!F6</f>
        <v>6.0984711175554943E-3</v>
      </c>
      <c r="G122" s="80">
        <f>+FC!G10/CR!G6</f>
        <v>5.8050018725812492E-3</v>
      </c>
      <c r="H122" s="83">
        <f t="shared" ref="H122:Q122" si="62">+AVERAGE($E$122:$G$122)</f>
        <v>5.8170875369883274E-3</v>
      </c>
      <c r="I122" s="83">
        <f t="shared" si="62"/>
        <v>5.8170875369883274E-3</v>
      </c>
      <c r="J122" s="83">
        <f t="shared" si="62"/>
        <v>5.8170875369883274E-3</v>
      </c>
      <c r="K122" s="83">
        <f t="shared" si="62"/>
        <v>5.8170875369883274E-3</v>
      </c>
      <c r="L122" s="83">
        <f t="shared" si="62"/>
        <v>5.8170875369883274E-3</v>
      </c>
      <c r="M122" s="83">
        <f t="shared" si="62"/>
        <v>5.8170875369883274E-3</v>
      </c>
      <c r="N122" s="83">
        <f t="shared" si="62"/>
        <v>5.8170875369883274E-3</v>
      </c>
      <c r="O122" s="83">
        <f t="shared" si="62"/>
        <v>5.8170875369883274E-3</v>
      </c>
      <c r="P122" s="83">
        <f t="shared" si="62"/>
        <v>5.8170875369883274E-3</v>
      </c>
      <c r="Q122" s="83">
        <f t="shared" si="62"/>
        <v>5.8170875369883274E-3</v>
      </c>
    </row>
    <row r="124" spans="2:17" x14ac:dyDescent="0.25">
      <c r="B124" s="39" t="s">
        <v>54</v>
      </c>
      <c r="C124" s="80">
        <f>+FC!C11/IS!C43</f>
        <v>0.34109118657001147</v>
      </c>
      <c r="D124" s="80">
        <f>+FC!D11/IS!D43</f>
        <v>-5.7683215130023641E-2</v>
      </c>
      <c r="E124" s="80">
        <f>+FC!E11/IS!E43</f>
        <v>-8.8928412627834591E-4</v>
      </c>
      <c r="F124" s="80">
        <f>+FC!F11/IS!F43</f>
        <v>-4.5137464095199014E-3</v>
      </c>
      <c r="G124" s="80">
        <f>+FC!G11/IS!G43</f>
        <v>0.18070604683677036</v>
      </c>
      <c r="H124" s="84">
        <f t="shared" ref="H124:Q124" si="63">+AVERAGE($E$124:$G$124)</f>
        <v>5.8434338766990702E-2</v>
      </c>
      <c r="I124" s="84">
        <f t="shared" si="63"/>
        <v>5.8434338766990702E-2</v>
      </c>
      <c r="J124" s="84">
        <f t="shared" si="63"/>
        <v>5.8434338766990702E-2</v>
      </c>
      <c r="K124" s="84">
        <f t="shared" si="63"/>
        <v>5.8434338766990702E-2</v>
      </c>
      <c r="L124" s="84">
        <f t="shared" si="63"/>
        <v>5.8434338766990702E-2</v>
      </c>
      <c r="M124" s="84">
        <f t="shared" si="63"/>
        <v>5.8434338766990702E-2</v>
      </c>
      <c r="N124" s="84">
        <f t="shared" si="63"/>
        <v>5.8434338766990702E-2</v>
      </c>
      <c r="O124" s="84">
        <f t="shared" si="63"/>
        <v>5.8434338766990702E-2</v>
      </c>
      <c r="P124" s="84">
        <f t="shared" si="63"/>
        <v>5.8434338766990702E-2</v>
      </c>
      <c r="Q124" s="84">
        <f t="shared" si="63"/>
        <v>5.8434338766990702E-2</v>
      </c>
    </row>
    <row r="126" spans="2:17" x14ac:dyDescent="0.25">
      <c r="B126" s="39" t="s">
        <v>55</v>
      </c>
      <c r="C126" s="80">
        <f>+'Balance Sheet'!C22/CR!C6</f>
        <v>7.2378291686067561E-2</v>
      </c>
      <c r="D126" s="80">
        <f>+'Balance Sheet'!D22/CR!D6</f>
        <v>7.0482739395065747E-2</v>
      </c>
      <c r="E126" s="80">
        <f>+'Balance Sheet'!E22/CR!E6</f>
        <v>0.10977634107985322</v>
      </c>
      <c r="F126" s="80">
        <f>+'Balance Sheet'!F22/CR!F6</f>
        <v>5.6698722732797406E-2</v>
      </c>
      <c r="G126" s="80">
        <f>+'Balance Sheet'!G22/CR!G6</f>
        <v>4.5482917897715448E-2</v>
      </c>
      <c r="H126" s="83">
        <f t="shared" ref="H126:Q126" si="64">+AVERAGE($E$126:$G$126)</f>
        <v>7.0652660570122025E-2</v>
      </c>
      <c r="I126" s="83">
        <f t="shared" si="64"/>
        <v>7.0652660570122025E-2</v>
      </c>
      <c r="J126" s="83">
        <f t="shared" si="64"/>
        <v>7.0652660570122025E-2</v>
      </c>
      <c r="K126" s="83">
        <f t="shared" si="64"/>
        <v>7.0652660570122025E-2</v>
      </c>
      <c r="L126" s="83">
        <f t="shared" si="64"/>
        <v>7.0652660570122025E-2</v>
      </c>
      <c r="M126" s="83">
        <f t="shared" si="64"/>
        <v>7.0652660570122025E-2</v>
      </c>
      <c r="N126" s="83">
        <f t="shared" si="64"/>
        <v>7.0652660570122025E-2</v>
      </c>
      <c r="O126" s="83">
        <f t="shared" si="64"/>
        <v>7.0652660570122025E-2</v>
      </c>
      <c r="P126" s="83">
        <f t="shared" si="64"/>
        <v>7.0652660570122025E-2</v>
      </c>
      <c r="Q126" s="83">
        <f t="shared" si="64"/>
        <v>7.0652660570122025E-2</v>
      </c>
    </row>
    <row r="128" spans="2:17" x14ac:dyDescent="0.25">
      <c r="B128" s="85" t="s">
        <v>56</v>
      </c>
      <c r="C128" s="80">
        <f>+-FC!C40/IS!C51</f>
        <v>-6.0485108996008598E-2</v>
      </c>
      <c r="D128" s="80">
        <f>+-FC!D40/IS!D51</f>
        <v>6.0888702578075875E-2</v>
      </c>
      <c r="E128" s="80">
        <f>+-FC!E40/IS!E51</f>
        <v>0.16333768900504014</v>
      </c>
      <c r="F128" s="80">
        <f>+-FC!F40/IS!F51</f>
        <v>9.85796256231775E-2</v>
      </c>
      <c r="G128" s="80">
        <f>+-FC!G40/IS!G51</f>
        <v>3.3035782406347754E-2</v>
      </c>
      <c r="H128" s="300"/>
      <c r="I128" s="299"/>
      <c r="J128" s="299"/>
      <c r="K128" s="299"/>
      <c r="L128" s="299"/>
      <c r="M128" s="299"/>
      <c r="N128" s="299"/>
      <c r="O128" s="299"/>
      <c r="P128" s="299"/>
      <c r="Q128" s="299"/>
    </row>
    <row r="129" spans="2:17" x14ac:dyDescent="0.25">
      <c r="B129" s="22" t="s">
        <v>57</v>
      </c>
      <c r="C129" s="86">
        <f>+FC!C40</f>
        <v>591</v>
      </c>
      <c r="D129" s="86">
        <f>+FC!D40</f>
        <v>-581</v>
      </c>
      <c r="E129" s="86">
        <f>+FC!E40</f>
        <v>-1750</v>
      </c>
      <c r="F129" s="86">
        <f>+FC!F40</f>
        <v>-1048</v>
      </c>
      <c r="G129" s="86">
        <f>+FC!G40</f>
        <v>-433</v>
      </c>
      <c r="H129" s="86">
        <f>+CF!H31</f>
        <v>0</v>
      </c>
      <c r="I129" s="86">
        <f>+CF!I31</f>
        <v>-2370.8756867087395</v>
      </c>
      <c r="J129" s="86">
        <f>+CF!J31</f>
        <v>-3077.4972221614207</v>
      </c>
      <c r="K129" s="86">
        <f>+CF!K31</f>
        <v>-3420.5248274906589</v>
      </c>
      <c r="L129" s="86">
        <f>+CF!L31</f>
        <v>-3637.2336097641146</v>
      </c>
      <c r="M129" s="86">
        <f>+CF!M31</f>
        <v>-3900.9955645471746</v>
      </c>
      <c r="N129" s="86">
        <f>+CF!N31</f>
        <v>-4169.4130844152296</v>
      </c>
      <c r="O129" s="86">
        <f>+CF!O31</f>
        <v>-4485.8128663348907</v>
      </c>
      <c r="P129" s="86">
        <f>+CF!P31</f>
        <v>-4743.0663591592893</v>
      </c>
      <c r="Q129" s="86">
        <f>+CF!Q31</f>
        <v>-5080.8886992004409</v>
      </c>
    </row>
    <row r="130" spans="2:17" x14ac:dyDescent="0.25">
      <c r="B130" s="22" t="s">
        <v>58</v>
      </c>
      <c r="H130" s="87">
        <f>+IS!G55</f>
        <v>4303</v>
      </c>
      <c r="I130" s="87">
        <f ca="1">+H130+H133</f>
        <v>4303</v>
      </c>
      <c r="J130" s="87">
        <f t="shared" ref="J130:Q130" ca="1" si="65">+I130-I133</f>
        <v>4279.8045071987453</v>
      </c>
      <c r="K130" s="87">
        <f t="shared" ca="1" si="65"/>
        <v>4251.1295227323535</v>
      </c>
      <c r="L130" s="87">
        <f t="shared" ca="1" si="65"/>
        <v>4220.7760091883601</v>
      </c>
      <c r="M130" s="87">
        <f t="shared" ca="1" si="65"/>
        <v>4190.036415759294</v>
      </c>
      <c r="N130" s="87">
        <f t="shared" ca="1" si="65"/>
        <v>4158.6376135537466</v>
      </c>
      <c r="O130" s="87">
        <f t="shared" ca="1" si="65"/>
        <v>4126.6764007752527</v>
      </c>
      <c r="P130" s="87">
        <f t="shared" ca="1" si="65"/>
        <v>4093.9272397502264</v>
      </c>
      <c r="Q130" s="87">
        <f t="shared" ca="1" si="65"/>
        <v>4060.9488893530011</v>
      </c>
    </row>
    <row r="131" spans="2:17" x14ac:dyDescent="0.25">
      <c r="B131" s="22" t="s">
        <v>59</v>
      </c>
      <c r="C131" s="305" t="e" vm="1">
        <v>#VALUE!</v>
      </c>
      <c r="D131" s="305"/>
      <c r="E131" s="305"/>
      <c r="F131" s="305"/>
      <c r="G131" s="86" cm="1">
        <f t="array" aca="1" ref="G131" ca="1">+_FV(C131,"Price")</f>
        <v>92.71</v>
      </c>
      <c r="H131" s="86">
        <f t="shared" ref="H131:Q131" ca="1" si="66">+G131*(1+H132)</f>
        <v>97.345500000000001</v>
      </c>
      <c r="I131" s="86">
        <f t="shared" ca="1" si="66"/>
        <v>102.21277500000001</v>
      </c>
      <c r="J131" s="86">
        <f t="shared" ca="1" si="66"/>
        <v>107.32341375000001</v>
      </c>
      <c r="K131" s="86">
        <f t="shared" ca="1" si="66"/>
        <v>112.68958443750002</v>
      </c>
      <c r="L131" s="86">
        <f t="shared" ca="1" si="66"/>
        <v>118.32406365937503</v>
      </c>
      <c r="M131" s="86">
        <f t="shared" ca="1" si="66"/>
        <v>124.24026684234379</v>
      </c>
      <c r="N131" s="86">
        <f t="shared" ca="1" si="66"/>
        <v>130.45228018446099</v>
      </c>
      <c r="O131" s="86">
        <f t="shared" ca="1" si="66"/>
        <v>136.97489419368404</v>
      </c>
      <c r="P131" s="86">
        <f t="shared" ca="1" si="66"/>
        <v>143.82363890336825</v>
      </c>
      <c r="Q131" s="86">
        <f t="shared" ca="1" si="66"/>
        <v>151.01482084853666</v>
      </c>
    </row>
    <row r="132" spans="2:17" x14ac:dyDescent="0.25">
      <c r="B132" s="22" t="s">
        <v>60</v>
      </c>
      <c r="H132" s="88">
        <v>0.05</v>
      </c>
      <c r="I132" s="88">
        <v>0.05</v>
      </c>
      <c r="J132" s="88">
        <v>0.05</v>
      </c>
      <c r="K132" s="88">
        <v>0.05</v>
      </c>
      <c r="L132" s="88">
        <v>0.05</v>
      </c>
      <c r="M132" s="88">
        <v>0.05</v>
      </c>
      <c r="N132" s="88">
        <v>0.05</v>
      </c>
      <c r="O132" s="88">
        <v>0.05</v>
      </c>
      <c r="P132" s="88">
        <v>0.05</v>
      </c>
      <c r="Q132" s="88">
        <v>0.05</v>
      </c>
    </row>
    <row r="133" spans="2:17" x14ac:dyDescent="0.25">
      <c r="B133" s="22" t="s">
        <v>61</v>
      </c>
      <c r="H133" s="89">
        <f ca="1">+-CF!H31/H131</f>
        <v>0</v>
      </c>
      <c r="I133" s="89">
        <f t="shared" ref="I133:Q133" ca="1" si="67">+-I129/I131</f>
        <v>23.195492801254435</v>
      </c>
      <c r="J133" s="89">
        <f t="shared" ca="1" si="67"/>
        <v>28.674984466392083</v>
      </c>
      <c r="K133" s="89">
        <f t="shared" ca="1" si="67"/>
        <v>30.353513543993525</v>
      </c>
      <c r="L133" s="89">
        <f t="shared" ca="1" si="67"/>
        <v>30.739593429066023</v>
      </c>
      <c r="M133" s="89">
        <f t="shared" ca="1" si="67"/>
        <v>31.398802205547344</v>
      </c>
      <c r="N133" s="89">
        <f t="shared" ca="1" si="67"/>
        <v>31.961212778493657</v>
      </c>
      <c r="O133" s="89">
        <f t="shared" ca="1" si="67"/>
        <v>32.74916102502624</v>
      </c>
      <c r="P133" s="89">
        <f t="shared" ca="1" si="67"/>
        <v>32.978350397225348</v>
      </c>
      <c r="Q133" s="89">
        <f t="shared" ca="1" si="67"/>
        <v>33.644967233357974</v>
      </c>
    </row>
    <row r="135" spans="2:17" x14ac:dyDescent="0.25">
      <c r="B135" s="90" t="s">
        <v>62</v>
      </c>
      <c r="C135" s="18"/>
      <c r="D135" s="18"/>
      <c r="E135" s="18"/>
      <c r="F135" s="18"/>
      <c r="G135" s="18"/>
      <c r="H135" s="18"/>
      <c r="I135" s="18"/>
      <c r="J135" s="18"/>
      <c r="K135" s="18"/>
      <c r="L135" s="18"/>
      <c r="M135" s="18"/>
      <c r="N135" s="18"/>
      <c r="O135" s="18"/>
      <c r="P135" s="18"/>
      <c r="Q135" s="18"/>
    </row>
    <row r="136" spans="2:17" x14ac:dyDescent="0.25">
      <c r="B136" s="22" t="s">
        <v>20</v>
      </c>
      <c r="C136" s="91">
        <v>0.25</v>
      </c>
      <c r="H136" s="92">
        <f t="shared" ref="H136:Q136" si="68">H137-$C$136</f>
        <v>2.54</v>
      </c>
      <c r="I136" s="92">
        <f t="shared" si="68"/>
        <v>2.4700000000000002</v>
      </c>
      <c r="J136" s="92">
        <f t="shared" si="68"/>
        <v>2.4</v>
      </c>
      <c r="K136" s="92">
        <f t="shared" si="68"/>
        <v>2.33</v>
      </c>
      <c r="L136" s="92">
        <f t="shared" si="68"/>
        <v>2.25</v>
      </c>
      <c r="M136" s="92">
        <f t="shared" si="68"/>
        <v>2.25</v>
      </c>
      <c r="N136" s="92">
        <f t="shared" si="68"/>
        <v>2.25</v>
      </c>
      <c r="O136" s="92">
        <f t="shared" si="68"/>
        <v>2.25</v>
      </c>
      <c r="P136" s="92">
        <f t="shared" si="68"/>
        <v>2.25</v>
      </c>
      <c r="Q136" s="92">
        <f t="shared" si="68"/>
        <v>2.25</v>
      </c>
    </row>
    <row r="137" spans="2:17" x14ac:dyDescent="0.25">
      <c r="B137" s="93" t="s">
        <v>22</v>
      </c>
      <c r="C137" s="94">
        <v>0</v>
      </c>
      <c r="H137" s="92">
        <v>2.79</v>
      </c>
      <c r="I137" s="92">
        <v>2.72</v>
      </c>
      <c r="J137" s="92">
        <v>2.65</v>
      </c>
      <c r="K137" s="92">
        <v>2.58</v>
      </c>
      <c r="L137" s="92">
        <v>2.5</v>
      </c>
      <c r="M137" s="92">
        <v>2.5</v>
      </c>
      <c r="N137" s="92">
        <v>2.5</v>
      </c>
      <c r="O137" s="92">
        <v>2.5</v>
      </c>
      <c r="P137" s="92">
        <v>2.5</v>
      </c>
      <c r="Q137" s="92">
        <v>2.5</v>
      </c>
    </row>
    <row r="138" spans="2:17" x14ac:dyDescent="0.25">
      <c r="B138" s="22" t="s">
        <v>24</v>
      </c>
      <c r="C138" s="95">
        <v>0.25</v>
      </c>
      <c r="H138" s="92">
        <f t="shared" ref="H138:Q138" si="69">H137+$C$138</f>
        <v>3.04</v>
      </c>
      <c r="I138" s="92">
        <f t="shared" si="69"/>
        <v>2.97</v>
      </c>
      <c r="J138" s="92">
        <f t="shared" si="69"/>
        <v>2.9</v>
      </c>
      <c r="K138" s="92">
        <f t="shared" si="69"/>
        <v>2.83</v>
      </c>
      <c r="L138" s="92">
        <f t="shared" si="69"/>
        <v>2.75</v>
      </c>
      <c r="M138" s="92">
        <f t="shared" si="69"/>
        <v>2.75</v>
      </c>
      <c r="N138" s="92">
        <f t="shared" si="69"/>
        <v>2.75</v>
      </c>
      <c r="O138" s="92">
        <f t="shared" si="69"/>
        <v>2.75</v>
      </c>
      <c r="P138" s="92">
        <f t="shared" si="69"/>
        <v>2.75</v>
      </c>
      <c r="Q138" s="92">
        <f t="shared" si="69"/>
        <v>2.75</v>
      </c>
    </row>
    <row r="139" spans="2:17" x14ac:dyDescent="0.25">
      <c r="B139" s="45" t="s">
        <v>32</v>
      </c>
      <c r="C139" s="54"/>
      <c r="D139" s="54"/>
      <c r="E139" s="54"/>
      <c r="F139" s="54"/>
      <c r="G139" s="54"/>
      <c r="H139" s="96">
        <f t="shared" ref="H139:Q139" si="70">CHOOSE($S$5,H136,H137,H138)</f>
        <v>2.79</v>
      </c>
      <c r="I139" s="96">
        <f t="shared" si="70"/>
        <v>2.72</v>
      </c>
      <c r="J139" s="96">
        <f t="shared" si="70"/>
        <v>2.65</v>
      </c>
      <c r="K139" s="96">
        <f t="shared" si="70"/>
        <v>2.58</v>
      </c>
      <c r="L139" s="96">
        <f t="shared" si="70"/>
        <v>2.5</v>
      </c>
      <c r="M139" s="96">
        <f t="shared" si="70"/>
        <v>2.5</v>
      </c>
      <c r="N139" s="96">
        <f t="shared" si="70"/>
        <v>2.5</v>
      </c>
      <c r="O139" s="96">
        <f t="shared" si="70"/>
        <v>2.5</v>
      </c>
      <c r="P139" s="96">
        <f t="shared" si="70"/>
        <v>2.5</v>
      </c>
      <c r="Q139" s="97">
        <f t="shared" si="70"/>
        <v>2.5</v>
      </c>
    </row>
    <row r="141" spans="2:17" x14ac:dyDescent="0.25">
      <c r="B141" s="98" t="s">
        <v>63</v>
      </c>
      <c r="H141" s="99">
        <v>10000</v>
      </c>
    </row>
    <row r="142" spans="2:17" x14ac:dyDescent="0.25">
      <c r="B142" s="100" t="s">
        <v>64</v>
      </c>
      <c r="H142" s="101">
        <f>+IS!G39/(BS!F7+BS!F8)</f>
        <v>5.3942763022441838E-2</v>
      </c>
    </row>
    <row r="144" spans="2:17" x14ac:dyDescent="0.25">
      <c r="B144" s="39" t="s">
        <v>65</v>
      </c>
      <c r="C144" s="18"/>
    </row>
    <row r="145" spans="2:3" x14ac:dyDescent="0.25">
      <c r="B145" s="22" t="s">
        <v>20</v>
      </c>
      <c r="C145" s="102">
        <v>0.03</v>
      </c>
    </row>
    <row r="146" spans="2:3" x14ac:dyDescent="0.25">
      <c r="B146" s="93" t="s">
        <v>22</v>
      </c>
      <c r="C146" s="103">
        <v>3.3000000000000002E-2</v>
      </c>
    </row>
    <row r="147" spans="2:3" x14ac:dyDescent="0.25">
      <c r="B147" s="22" t="s">
        <v>24</v>
      </c>
      <c r="C147" s="104">
        <v>0.04</v>
      </c>
    </row>
    <row r="148" spans="2:3" x14ac:dyDescent="0.25">
      <c r="B148" s="45" t="s">
        <v>32</v>
      </c>
      <c r="C148" s="105">
        <f>CHOOSE($S$5,C145,C146,C147)</f>
        <v>3.3000000000000002E-2</v>
      </c>
    </row>
  </sheetData>
  <mergeCells count="16">
    <mergeCell ref="C131:F131"/>
    <mergeCell ref="S92:T92"/>
    <mergeCell ref="S96:T96"/>
    <mergeCell ref="S98:T98"/>
    <mergeCell ref="S102:T102"/>
    <mergeCell ref="B112:Q112"/>
    <mergeCell ref="S78:T78"/>
    <mergeCell ref="S80:T80"/>
    <mergeCell ref="S84:T84"/>
    <mergeCell ref="S86:T86"/>
    <mergeCell ref="S90:T90"/>
    <mergeCell ref="B3:Q3"/>
    <mergeCell ref="S5:T5"/>
    <mergeCell ref="B31:Q31"/>
    <mergeCell ref="B72:Q72"/>
    <mergeCell ref="S74:T74"/>
  </mergeCells>
  <dataValidations count="6">
    <dataValidation type="list" allowBlank="1" showInputMessage="1" showErrorMessage="1" sqref="S5" xr:uid="{00000000-0002-0000-0100-000000000000}">
      <formula1>$T$6:$T$8</formula1>
      <formula2>0</formula2>
    </dataValidation>
    <dataValidation type="list" allowBlank="1" showInputMessage="1" showErrorMessage="1" sqref="S78" xr:uid="{00000000-0002-0000-0100-000001000000}">
      <formula1>$T$75:$T$77</formula1>
      <formula2>0</formula2>
    </dataValidation>
    <dataValidation type="list" allowBlank="1" showInputMessage="1" showErrorMessage="1" sqref="S84" xr:uid="{00000000-0002-0000-0100-000002000000}">
      <formula1>$T$81:$T$83</formula1>
      <formula2>0</formula2>
    </dataValidation>
    <dataValidation type="list" allowBlank="1" showInputMessage="1" showErrorMessage="1" sqref="S90" xr:uid="{00000000-0002-0000-0100-000003000000}">
      <formula1>$T$87:$T$89</formula1>
      <formula2>0</formula2>
    </dataValidation>
    <dataValidation type="list" allowBlank="1" showInputMessage="1" showErrorMessage="1" sqref="S96" xr:uid="{00000000-0002-0000-0100-000004000000}">
      <formula1>$T$93:$T$95</formula1>
      <formula2>0</formula2>
    </dataValidation>
    <dataValidation type="list" allowBlank="1" showInputMessage="1" showErrorMessage="1" sqref="S102" xr:uid="{00000000-0002-0000-0100-000005000000}">
      <formula1>$T$99:$T$101</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58"/>
  <sheetViews>
    <sheetView showGridLines="0" zoomScale="80" zoomScaleNormal="80" workbookViewId="0">
      <selection activeCell="G18" sqref="G18"/>
    </sheetView>
  </sheetViews>
  <sheetFormatPr defaultColWidth="8.7109375" defaultRowHeight="15" x14ac:dyDescent="0.25"/>
  <cols>
    <col min="2" max="2" width="41.85546875" customWidth="1"/>
    <col min="3" max="3" width="14.28515625" customWidth="1"/>
    <col min="4" max="4" width="15.7109375" customWidth="1"/>
    <col min="5" max="17" width="14.28515625" customWidth="1"/>
  </cols>
  <sheetData>
    <row r="1" spans="2:5" x14ac:dyDescent="0.25">
      <c r="B1" s="106"/>
    </row>
    <row r="3" spans="2:5" x14ac:dyDescent="0.25">
      <c r="B3" s="307" t="s">
        <v>66</v>
      </c>
      <c r="C3" s="307"/>
      <c r="D3" s="307"/>
      <c r="E3" s="307"/>
    </row>
    <row r="4" spans="2:5" x14ac:dyDescent="0.25">
      <c r="B4" s="93" t="s">
        <v>67</v>
      </c>
      <c r="C4" s="107" t="s">
        <v>68</v>
      </c>
      <c r="D4" s="107" t="s">
        <v>69</v>
      </c>
      <c r="E4" s="107" t="s">
        <v>70</v>
      </c>
    </row>
    <row r="5" spans="2:5" x14ac:dyDescent="0.25">
      <c r="B5" s="108" t="s">
        <v>71</v>
      </c>
      <c r="C5" s="109">
        <v>1495</v>
      </c>
      <c r="D5" s="110">
        <v>3.9E-2</v>
      </c>
      <c r="E5" t="s">
        <v>72</v>
      </c>
    </row>
    <row r="6" spans="2:5" x14ac:dyDescent="0.25">
      <c r="B6" s="108" t="s">
        <v>73</v>
      </c>
      <c r="C6" s="109">
        <v>56</v>
      </c>
      <c r="D6" s="110">
        <v>3.9E-2</v>
      </c>
      <c r="E6" t="s">
        <v>72</v>
      </c>
    </row>
    <row r="7" spans="2:5" x14ac:dyDescent="0.25">
      <c r="B7" s="93" t="s">
        <v>74</v>
      </c>
      <c r="C7" s="111">
        <f>SUM(C5:C6)</f>
        <v>1551</v>
      </c>
    </row>
    <row r="8" spans="2:5" x14ac:dyDescent="0.25">
      <c r="B8" s="108" t="s">
        <v>75</v>
      </c>
      <c r="C8" s="109">
        <v>26945</v>
      </c>
      <c r="D8" s="110">
        <v>3.5999999999999997E-2</v>
      </c>
    </row>
    <row r="9" spans="2:5" x14ac:dyDescent="0.25">
      <c r="B9" s="108" t="s">
        <v>76</v>
      </c>
      <c r="C9" s="109">
        <v>767</v>
      </c>
      <c r="D9" s="110">
        <v>4.8000000000000001E-2</v>
      </c>
    </row>
    <row r="10" spans="2:5" x14ac:dyDescent="0.25">
      <c r="B10" s="108" t="s">
        <v>77</v>
      </c>
      <c r="C10" s="109">
        <v>15470</v>
      </c>
      <c r="D10" s="110">
        <v>2.4E-2</v>
      </c>
    </row>
    <row r="11" spans="2:5" x14ac:dyDescent="0.25">
      <c r="B11" s="108" t="s">
        <v>78</v>
      </c>
      <c r="C11" s="109">
        <v>726</v>
      </c>
      <c r="D11" s="110">
        <v>5.0999999999999997E-2</v>
      </c>
    </row>
    <row r="12" spans="2:5" x14ac:dyDescent="0.25">
      <c r="B12" s="108" t="s">
        <v>79</v>
      </c>
      <c r="C12" s="109">
        <v>651</v>
      </c>
      <c r="D12" s="110">
        <v>4.9000000000000002E-2</v>
      </c>
    </row>
    <row r="13" spans="2:5" x14ac:dyDescent="0.25">
      <c r="B13" s="108" t="s">
        <v>80</v>
      </c>
      <c r="C13" s="109">
        <v>-618</v>
      </c>
      <c r="D13" s="112"/>
    </row>
    <row r="14" spans="2:5" x14ac:dyDescent="0.25">
      <c r="B14" s="93" t="s">
        <v>81</v>
      </c>
      <c r="C14" s="111">
        <f>SUM(C8:C13)</f>
        <v>43941</v>
      </c>
      <c r="D14" s="113">
        <f>+Drivers!C148</f>
        <v>3.3000000000000002E-2</v>
      </c>
    </row>
    <row r="15" spans="2:5" x14ac:dyDescent="0.25">
      <c r="B15" s="108" t="s">
        <v>82</v>
      </c>
      <c r="C15" s="109">
        <v>-1822</v>
      </c>
    </row>
    <row r="16" spans="2:5" x14ac:dyDescent="0.25">
      <c r="B16" s="93" t="s">
        <v>83</v>
      </c>
      <c r="C16" s="111">
        <f>C14+C15</f>
        <v>42119</v>
      </c>
    </row>
    <row r="18" spans="2:5" x14ac:dyDescent="0.25">
      <c r="B18" s="307" t="s">
        <v>84</v>
      </c>
      <c r="C18" s="307"/>
      <c r="D18" s="307"/>
      <c r="E18" s="307"/>
    </row>
    <row r="19" spans="2:5" x14ac:dyDescent="0.25">
      <c r="B19" s="93" t="s">
        <v>85</v>
      </c>
      <c r="C19" s="107" t="s">
        <v>68</v>
      </c>
    </row>
    <row r="20" spans="2:5" x14ac:dyDescent="0.25">
      <c r="B20" s="108" t="s">
        <v>86</v>
      </c>
      <c r="C20" s="109">
        <v>1697</v>
      </c>
    </row>
    <row r="21" spans="2:5" x14ac:dyDescent="0.25">
      <c r="B21" s="108" t="s">
        <v>87</v>
      </c>
      <c r="C21" s="109">
        <v>321</v>
      </c>
    </row>
    <row r="22" spans="2:5" x14ac:dyDescent="0.25">
      <c r="B22" s="108" t="s">
        <v>88</v>
      </c>
      <c r="C22" s="109">
        <v>1401</v>
      </c>
    </row>
    <row r="23" spans="2:5" x14ac:dyDescent="0.25">
      <c r="B23" s="93" t="s">
        <v>89</v>
      </c>
      <c r="C23" s="111">
        <f>C21+C22</f>
        <v>1722</v>
      </c>
    </row>
    <row r="24" spans="2:5" x14ac:dyDescent="0.25">
      <c r="B24" s="108" t="s">
        <v>90</v>
      </c>
      <c r="C24" s="110">
        <v>3.9E-2</v>
      </c>
    </row>
    <row r="25" spans="2:5" x14ac:dyDescent="0.25">
      <c r="B25" s="108" t="s">
        <v>91</v>
      </c>
      <c r="C25" s="109">
        <v>405</v>
      </c>
    </row>
    <row r="27" spans="2:5" x14ac:dyDescent="0.25">
      <c r="B27" s="307" t="s">
        <v>92</v>
      </c>
      <c r="C27" s="307"/>
      <c r="D27" s="307"/>
      <c r="E27" s="307"/>
    </row>
    <row r="28" spans="2:5" x14ac:dyDescent="0.25">
      <c r="B28" s="93" t="s">
        <v>93</v>
      </c>
      <c r="C28" s="114" t="s">
        <v>94</v>
      </c>
      <c r="D28" s="114" t="s">
        <v>95</v>
      </c>
    </row>
    <row r="29" spans="2:5" x14ac:dyDescent="0.25">
      <c r="B29">
        <v>2026</v>
      </c>
      <c r="C29" s="109">
        <v>1822</v>
      </c>
      <c r="D29" s="109">
        <v>381</v>
      </c>
    </row>
    <row r="30" spans="2:5" x14ac:dyDescent="0.25">
      <c r="B30">
        <v>2027</v>
      </c>
      <c r="C30" s="109">
        <v>4817</v>
      </c>
      <c r="D30" s="109">
        <v>317</v>
      </c>
    </row>
    <row r="31" spans="2:5" x14ac:dyDescent="0.25">
      <c r="B31">
        <v>2028</v>
      </c>
      <c r="C31" s="109">
        <v>2923</v>
      </c>
      <c r="D31" s="109">
        <v>259</v>
      </c>
    </row>
    <row r="32" spans="2:5" x14ac:dyDescent="0.25">
      <c r="B32">
        <v>2029</v>
      </c>
      <c r="C32" s="109">
        <v>2955</v>
      </c>
      <c r="D32" s="109">
        <v>213</v>
      </c>
    </row>
    <row r="33" spans="2:13" x14ac:dyDescent="0.25">
      <c r="B33">
        <v>2030</v>
      </c>
      <c r="C33" s="109">
        <v>3411</v>
      </c>
      <c r="D33" s="109">
        <v>170</v>
      </c>
    </row>
    <row r="34" spans="2:13" x14ac:dyDescent="0.25">
      <c r="B34" s="108" t="s">
        <v>96</v>
      </c>
      <c r="C34" s="112"/>
      <c r="D34" s="109">
        <v>679</v>
      </c>
    </row>
    <row r="35" spans="2:13" x14ac:dyDescent="0.25">
      <c r="B35" s="93" t="s">
        <v>97</v>
      </c>
      <c r="D35" s="111">
        <f>SUM(D29:D34)</f>
        <v>2019</v>
      </c>
    </row>
    <row r="36" spans="2:13" x14ac:dyDescent="0.25">
      <c r="B36" s="108" t="s">
        <v>98</v>
      </c>
      <c r="D36" s="109">
        <v>-297</v>
      </c>
    </row>
    <row r="37" spans="2:13" x14ac:dyDescent="0.25">
      <c r="B37" s="93" t="s">
        <v>99</v>
      </c>
      <c r="D37" s="111">
        <f>D35+D36</f>
        <v>1722</v>
      </c>
    </row>
    <row r="39" spans="2:13" x14ac:dyDescent="0.25">
      <c r="B39" s="307" t="s">
        <v>100</v>
      </c>
      <c r="C39" s="307"/>
      <c r="D39" s="307"/>
      <c r="E39" s="307"/>
      <c r="F39" s="307"/>
      <c r="G39" s="307"/>
      <c r="H39" s="307"/>
      <c r="I39" s="307"/>
      <c r="J39" s="307"/>
      <c r="K39" s="307"/>
      <c r="L39" s="307"/>
      <c r="M39" s="307"/>
    </row>
    <row r="40" spans="2:13" x14ac:dyDescent="0.25">
      <c r="B40" s="115" t="s">
        <v>101</v>
      </c>
      <c r="C40" s="116">
        <f>+Drivers!H139</f>
        <v>2.79</v>
      </c>
      <c r="D40" s="92">
        <f>+Drivers!I139</f>
        <v>2.72</v>
      </c>
      <c r="E40" s="92">
        <f>+Drivers!J139</f>
        <v>2.65</v>
      </c>
      <c r="F40" s="92">
        <f>+Drivers!K139</f>
        <v>2.58</v>
      </c>
      <c r="G40" s="92">
        <f>+Drivers!L139</f>
        <v>2.5</v>
      </c>
      <c r="H40" s="92">
        <f>+Drivers!M139</f>
        <v>2.5</v>
      </c>
      <c r="I40" s="92">
        <f>+Drivers!N139</f>
        <v>2.5</v>
      </c>
      <c r="J40" s="92">
        <f>+Drivers!O139</f>
        <v>2.5</v>
      </c>
      <c r="K40" s="92">
        <f>+Drivers!P139</f>
        <v>2.5</v>
      </c>
      <c r="L40" s="92">
        <f>+Drivers!Q139</f>
        <v>2.5</v>
      </c>
    </row>
    <row r="41" spans="2:13" x14ac:dyDescent="0.25">
      <c r="B41" s="93"/>
      <c r="C41" s="114">
        <v>2026</v>
      </c>
      <c r="D41" s="114">
        <v>2027</v>
      </c>
      <c r="E41" s="114">
        <v>2028</v>
      </c>
      <c r="F41" s="114">
        <v>2029</v>
      </c>
      <c r="G41" s="114">
        <v>2030</v>
      </c>
      <c r="H41" s="114">
        <v>2031</v>
      </c>
      <c r="I41" s="114">
        <v>2032</v>
      </c>
      <c r="J41" s="114">
        <v>2033</v>
      </c>
      <c r="K41" s="114">
        <v>2034</v>
      </c>
      <c r="L41" s="114">
        <v>2035</v>
      </c>
      <c r="M41" s="114">
        <v>2036</v>
      </c>
    </row>
    <row r="42" spans="2:13" x14ac:dyDescent="0.25">
      <c r="B42" s="117" t="s">
        <v>102</v>
      </c>
      <c r="C42" s="18"/>
      <c r="D42" s="18"/>
      <c r="E42" s="18"/>
      <c r="F42" s="18"/>
      <c r="G42" s="18"/>
      <c r="H42" s="18"/>
      <c r="I42" s="18"/>
      <c r="J42" s="18"/>
      <c r="K42" s="18"/>
      <c r="L42" s="18"/>
      <c r="M42" s="18"/>
    </row>
    <row r="43" spans="2:13" x14ac:dyDescent="0.25">
      <c r="B43" s="22" t="s">
        <v>103</v>
      </c>
      <c r="C43" s="61">
        <f>C14</f>
        <v>43941</v>
      </c>
      <c r="D43" s="61">
        <f t="shared" ref="D43:M43" si="0">C46</f>
        <v>43941</v>
      </c>
      <c r="E43" s="61">
        <f t="shared" si="0"/>
        <v>43941</v>
      </c>
      <c r="F43" s="61">
        <f t="shared" si="0"/>
        <v>43941</v>
      </c>
      <c r="G43" s="61">
        <f t="shared" si="0"/>
        <v>43941</v>
      </c>
      <c r="H43" s="61">
        <f t="shared" si="0"/>
        <v>43941</v>
      </c>
      <c r="I43" s="61">
        <f t="shared" si="0"/>
        <v>43941</v>
      </c>
      <c r="J43" s="61">
        <f t="shared" si="0"/>
        <v>43941</v>
      </c>
      <c r="K43" s="61">
        <f t="shared" si="0"/>
        <v>43941</v>
      </c>
      <c r="L43" s="61">
        <f t="shared" si="0"/>
        <v>43941</v>
      </c>
      <c r="M43" s="61">
        <f t="shared" si="0"/>
        <v>43941</v>
      </c>
    </row>
    <row r="44" spans="2:13" x14ac:dyDescent="0.25">
      <c r="B44" s="22" t="s">
        <v>104</v>
      </c>
      <c r="C44" s="61">
        <f>-C29</f>
        <v>-1822</v>
      </c>
      <c r="D44" s="61">
        <f>-C30</f>
        <v>-4817</v>
      </c>
      <c r="E44" s="61">
        <f>-C31</f>
        <v>-2923</v>
      </c>
      <c r="F44" s="61">
        <f>-C32</f>
        <v>-2955</v>
      </c>
      <c r="G44" s="61">
        <f>-C33</f>
        <v>-3411</v>
      </c>
      <c r="H44">
        <v>0</v>
      </c>
      <c r="I44">
        <v>0</v>
      </c>
      <c r="J44">
        <v>0</v>
      </c>
      <c r="K44">
        <v>0</v>
      </c>
      <c r="L44">
        <v>0</v>
      </c>
      <c r="M44">
        <f>-L29</f>
        <v>0</v>
      </c>
    </row>
    <row r="45" spans="2:13" x14ac:dyDescent="0.25">
      <c r="B45" s="22" t="s">
        <v>1321</v>
      </c>
      <c r="C45" s="61">
        <f t="shared" ref="C45:L45" si="1">C46-C43-C44</f>
        <v>1822</v>
      </c>
      <c r="D45" s="61">
        <f t="shared" si="1"/>
        <v>4817</v>
      </c>
      <c r="E45" s="61">
        <f t="shared" si="1"/>
        <v>2923</v>
      </c>
      <c r="F45" s="61">
        <f t="shared" si="1"/>
        <v>2955</v>
      </c>
      <c r="G45" s="61">
        <f t="shared" si="1"/>
        <v>3411</v>
      </c>
      <c r="H45" s="61">
        <f t="shared" si="1"/>
        <v>0</v>
      </c>
      <c r="I45" s="61">
        <f t="shared" si="1"/>
        <v>0</v>
      </c>
      <c r="J45" s="61">
        <f t="shared" si="1"/>
        <v>0</v>
      </c>
      <c r="K45" s="61">
        <f t="shared" si="1"/>
        <v>0</v>
      </c>
      <c r="L45" s="61">
        <f t="shared" si="1"/>
        <v>0</v>
      </c>
      <c r="M45">
        <f>-M44*$C$40</f>
        <v>0</v>
      </c>
    </row>
    <row r="46" spans="2:13" x14ac:dyDescent="0.25">
      <c r="B46" s="117" t="s">
        <v>1320</v>
      </c>
      <c r="C46" s="69">
        <f>+C43</f>
        <v>43941</v>
      </c>
      <c r="D46" s="69">
        <f t="shared" ref="D46:L46" si="2">+D43</f>
        <v>43941</v>
      </c>
      <c r="E46" s="69">
        <f t="shared" si="2"/>
        <v>43941</v>
      </c>
      <c r="F46" s="69">
        <f t="shared" si="2"/>
        <v>43941</v>
      </c>
      <c r="G46" s="69">
        <f t="shared" si="2"/>
        <v>43941</v>
      </c>
      <c r="H46" s="118">
        <f t="shared" si="2"/>
        <v>43941</v>
      </c>
      <c r="I46" s="118">
        <f t="shared" si="2"/>
        <v>43941</v>
      </c>
      <c r="J46" s="118">
        <f t="shared" si="2"/>
        <v>43941</v>
      </c>
      <c r="K46" s="118">
        <f t="shared" si="2"/>
        <v>43941</v>
      </c>
      <c r="L46" s="118">
        <f t="shared" si="2"/>
        <v>43941</v>
      </c>
      <c r="M46" s="118">
        <f>M43+M44+M45</f>
        <v>43941</v>
      </c>
    </row>
    <row r="47" spans="2:13" x14ac:dyDescent="0.25">
      <c r="B47" s="22" t="s">
        <v>106</v>
      </c>
      <c r="C47" s="119">
        <f t="shared" ref="C47:M47" si="3">AVERAGE(C43,C46)*$D$14</f>
        <v>1450.0530000000001</v>
      </c>
      <c r="D47" s="119">
        <f t="shared" si="3"/>
        <v>1450.0530000000001</v>
      </c>
      <c r="E47" s="119">
        <f t="shared" si="3"/>
        <v>1450.0530000000001</v>
      </c>
      <c r="F47" s="119">
        <f t="shared" si="3"/>
        <v>1450.0530000000001</v>
      </c>
      <c r="G47" s="119">
        <f t="shared" si="3"/>
        <v>1450.0530000000001</v>
      </c>
      <c r="H47" s="119">
        <f t="shared" si="3"/>
        <v>1450.0530000000001</v>
      </c>
      <c r="I47" s="119">
        <f t="shared" si="3"/>
        <v>1450.0530000000001</v>
      </c>
      <c r="J47" s="119">
        <f t="shared" si="3"/>
        <v>1450.0530000000001</v>
      </c>
      <c r="K47" s="119">
        <f t="shared" si="3"/>
        <v>1450.0530000000001</v>
      </c>
      <c r="L47" s="119">
        <f t="shared" si="3"/>
        <v>1450.0530000000001</v>
      </c>
      <c r="M47" s="119">
        <f t="shared" si="3"/>
        <v>1450.0530000000001</v>
      </c>
    </row>
    <row r="48" spans="2:13" x14ac:dyDescent="0.25">
      <c r="B48" s="22"/>
    </row>
    <row r="49" spans="2:13" x14ac:dyDescent="0.25">
      <c r="C49" s="114" t="s">
        <v>107</v>
      </c>
      <c r="D49" s="28">
        <f>C23/IS!G5</f>
        <v>3.5828721235071366E-2</v>
      </c>
      <c r="E49" s="114" t="s">
        <v>108</v>
      </c>
      <c r="F49" s="28">
        <f>C25/C23</f>
        <v>0.23519163763066203</v>
      </c>
    </row>
    <row r="50" spans="2:13" x14ac:dyDescent="0.25">
      <c r="B50" s="117" t="s">
        <v>109</v>
      </c>
      <c r="C50" s="18"/>
      <c r="D50" s="18"/>
      <c r="E50" s="18"/>
      <c r="F50" s="18"/>
      <c r="G50" s="18"/>
      <c r="H50" s="18"/>
      <c r="I50" s="18"/>
      <c r="J50" s="18"/>
      <c r="K50" s="18"/>
      <c r="L50" s="18"/>
      <c r="M50" s="18"/>
    </row>
    <row r="51" spans="2:13" x14ac:dyDescent="0.25">
      <c r="B51" s="22" t="s">
        <v>103</v>
      </c>
      <c r="C51" s="61">
        <f>C23</f>
        <v>1722</v>
      </c>
      <c r="D51" s="61">
        <f t="shared" ref="D51:L51" si="4">C54</f>
        <v>1760.4506815173761</v>
      </c>
      <c r="E51" s="61">
        <f t="shared" si="4"/>
        <v>1785.9861964867225</v>
      </c>
      <c r="F51" s="61">
        <f t="shared" si="4"/>
        <v>1876.5281548923972</v>
      </c>
      <c r="G51" s="61">
        <f t="shared" si="4"/>
        <v>1971.6053104351538</v>
      </c>
      <c r="H51" s="61">
        <f t="shared" si="4"/>
        <v>2062.4474055161481</v>
      </c>
      <c r="I51" s="61">
        <f t="shared" si="4"/>
        <v>2159.9692043566661</v>
      </c>
      <c r="J51" s="61">
        <f t="shared" si="4"/>
        <v>2262.2489930692695</v>
      </c>
      <c r="K51" s="61">
        <f t="shared" si="4"/>
        <v>2374.3398913154447</v>
      </c>
      <c r="L51" s="61">
        <f t="shared" si="4"/>
        <v>2483.485584169071</v>
      </c>
    </row>
    <row r="52" spans="2:13" x14ac:dyDescent="0.25">
      <c r="B52" s="22" t="s">
        <v>110</v>
      </c>
      <c r="C52" s="120">
        <f t="shared" ref="C52:L52" si="5">C51*$C$24</f>
        <v>67.158000000000001</v>
      </c>
      <c r="D52" s="120">
        <f t="shared" si="5"/>
        <v>68.657576579177672</v>
      </c>
      <c r="E52" s="120">
        <f t="shared" si="5"/>
        <v>69.653461662982181</v>
      </c>
      <c r="F52" s="120">
        <f t="shared" si="5"/>
        <v>73.184598040803493</v>
      </c>
      <c r="G52" s="120">
        <f t="shared" si="5"/>
        <v>76.892607106970999</v>
      </c>
      <c r="H52" s="120">
        <f t="shared" si="5"/>
        <v>80.435448815129774</v>
      </c>
      <c r="I52" s="120">
        <f t="shared" si="5"/>
        <v>84.238798969909979</v>
      </c>
      <c r="J52" s="120">
        <f t="shared" si="5"/>
        <v>88.227710729701514</v>
      </c>
      <c r="K52" s="120">
        <f t="shared" si="5"/>
        <v>92.599255761302345</v>
      </c>
      <c r="L52" s="120">
        <f t="shared" si="5"/>
        <v>96.85593778259377</v>
      </c>
    </row>
    <row r="53" spans="2:13" x14ac:dyDescent="0.25">
      <c r="B53" s="22" t="s">
        <v>111</v>
      </c>
      <c r="C53" s="61">
        <f t="shared" ref="C53:L53" si="6">-$F$49*C51</f>
        <v>-405</v>
      </c>
      <c r="D53" s="61">
        <f t="shared" si="6"/>
        <v>-414.04327875408671</v>
      </c>
      <c r="E53" s="61">
        <f t="shared" si="6"/>
        <v>-420.04901833746959</v>
      </c>
      <c r="F53" s="61">
        <f t="shared" si="6"/>
        <v>-441.34372980918749</v>
      </c>
      <c r="G53" s="61">
        <f t="shared" si="6"/>
        <v>-463.70508172255359</v>
      </c>
      <c r="H53" s="61">
        <f t="shared" si="6"/>
        <v>-485.07038283045296</v>
      </c>
      <c r="I53" s="61">
        <f t="shared" si="6"/>
        <v>-508.00669440444238</v>
      </c>
      <c r="J53" s="61">
        <f t="shared" si="6"/>
        <v>-532.06204540827775</v>
      </c>
      <c r="K53" s="61">
        <f t="shared" si="6"/>
        <v>-558.42488733028756</v>
      </c>
      <c r="L53" s="61">
        <f t="shared" si="6"/>
        <v>-584.09504157286517</v>
      </c>
    </row>
    <row r="54" spans="2:13" x14ac:dyDescent="0.25">
      <c r="B54" s="93" t="s">
        <v>105</v>
      </c>
      <c r="C54" s="111">
        <f>$D$49*IS!H5</f>
        <v>1760.4506815173761</v>
      </c>
      <c r="D54" s="111">
        <f>$D$49*IS!I5</f>
        <v>1785.9861964867225</v>
      </c>
      <c r="E54" s="111">
        <f>$D$49*IS!J5</f>
        <v>1876.5281548923972</v>
      </c>
      <c r="F54" s="111">
        <f>$D$49*IS!K5</f>
        <v>1971.6053104351538</v>
      </c>
      <c r="G54" s="111">
        <f>$D$49*IS!L5</f>
        <v>2062.4474055161481</v>
      </c>
      <c r="H54" s="61">
        <f>$D$49*IS!M5</f>
        <v>2159.9692043566661</v>
      </c>
      <c r="I54" s="61">
        <f>$D$49*IS!N5</f>
        <v>2262.2489930692695</v>
      </c>
      <c r="J54" s="61">
        <f>$D$49*IS!O5</f>
        <v>2374.3398913154447</v>
      </c>
      <c r="K54" s="61">
        <f>$D$49*IS!P5</f>
        <v>2483.485584169071</v>
      </c>
      <c r="L54" s="61">
        <f>$D$49*IS!Q5</f>
        <v>2601.6252486489557</v>
      </c>
    </row>
    <row r="55" spans="2:13" x14ac:dyDescent="0.25">
      <c r="B55" s="22"/>
      <c r="C55" s="120">
        <f t="shared" ref="C55:L55" si="7">C54-C51-C52-C53</f>
        <v>376.29268151737608</v>
      </c>
      <c r="D55" s="61">
        <f t="shared" si="7"/>
        <v>370.92121714425548</v>
      </c>
      <c r="E55" s="61">
        <f t="shared" si="7"/>
        <v>440.93751508016209</v>
      </c>
      <c r="F55" s="61">
        <f t="shared" si="7"/>
        <v>463.23628731114059</v>
      </c>
      <c r="G55" s="61">
        <f t="shared" si="7"/>
        <v>477.65456969657691</v>
      </c>
      <c r="H55" s="61">
        <f t="shared" si="7"/>
        <v>502.15673285584114</v>
      </c>
      <c r="I55" s="61">
        <f t="shared" si="7"/>
        <v>526.0476841471359</v>
      </c>
      <c r="J55" s="61">
        <f t="shared" si="7"/>
        <v>555.92523292475141</v>
      </c>
      <c r="K55" s="61">
        <f t="shared" si="7"/>
        <v>574.97132442261159</v>
      </c>
      <c r="L55" s="61">
        <f t="shared" si="7"/>
        <v>605.37876827015612</v>
      </c>
    </row>
    <row r="57" spans="2:13" x14ac:dyDescent="0.25">
      <c r="B57" s="29" t="s">
        <v>112</v>
      </c>
      <c r="C57" s="121">
        <f t="shared" ref="C57:L57" si="8">C46+C54+$C$7</f>
        <v>47252.450681517374</v>
      </c>
      <c r="D57" s="121">
        <f t="shared" si="8"/>
        <v>47277.986196486723</v>
      </c>
      <c r="E57" s="121">
        <f t="shared" si="8"/>
        <v>47368.528154892396</v>
      </c>
      <c r="F57" s="121">
        <f t="shared" si="8"/>
        <v>47463.605310435152</v>
      </c>
      <c r="G57" s="121">
        <f t="shared" si="8"/>
        <v>47554.447405516148</v>
      </c>
      <c r="H57" s="121">
        <f t="shared" si="8"/>
        <v>47651.969204356668</v>
      </c>
      <c r="I57" s="121">
        <f t="shared" si="8"/>
        <v>47754.248993069268</v>
      </c>
      <c r="J57" s="121">
        <f t="shared" si="8"/>
        <v>47866.339891315445</v>
      </c>
      <c r="K57" s="121">
        <f t="shared" si="8"/>
        <v>47975.485584169073</v>
      </c>
      <c r="L57" s="122">
        <f t="shared" si="8"/>
        <v>48093.625248648954</v>
      </c>
    </row>
    <row r="58" spans="2:13" x14ac:dyDescent="0.25">
      <c r="B58" s="36" t="s">
        <v>113</v>
      </c>
      <c r="C58" s="69">
        <f t="shared" ref="C58:L58" si="9">C47+C52+$C$7*$D$5</f>
        <v>1577.7</v>
      </c>
      <c r="D58" s="69">
        <f t="shared" si="9"/>
        <v>1579.1995765791778</v>
      </c>
      <c r="E58" s="69">
        <f t="shared" si="9"/>
        <v>1580.1954616629823</v>
      </c>
      <c r="F58" s="69">
        <f t="shared" si="9"/>
        <v>1583.7265980408035</v>
      </c>
      <c r="G58" s="69">
        <f t="shared" si="9"/>
        <v>1587.434607106971</v>
      </c>
      <c r="H58" s="69">
        <f t="shared" si="9"/>
        <v>1590.9774488151299</v>
      </c>
      <c r="I58" s="69">
        <f t="shared" si="9"/>
        <v>1594.7807989699102</v>
      </c>
      <c r="J58" s="69">
        <f t="shared" si="9"/>
        <v>1598.7697107297017</v>
      </c>
      <c r="K58" s="69">
        <f t="shared" si="9"/>
        <v>1603.1412557613025</v>
      </c>
      <c r="L58" s="123">
        <f t="shared" si="9"/>
        <v>1607.397937782594</v>
      </c>
    </row>
  </sheetData>
  <mergeCells count="4">
    <mergeCell ref="B3:E3"/>
    <mergeCell ref="B18:E18"/>
    <mergeCell ref="B27:E27"/>
    <mergeCell ref="B39:M39"/>
  </mergeCell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67"/>
  <sheetViews>
    <sheetView showGridLines="0" zoomScale="80" zoomScaleNormal="80" workbookViewId="0">
      <pane ySplit="1" topLeftCell="A2" activePane="bottomLeft" state="frozen"/>
      <selection pane="bottomLeft" activeCell="Q58" sqref="Q58"/>
    </sheetView>
  </sheetViews>
  <sheetFormatPr defaultColWidth="8.7109375" defaultRowHeight="15" x14ac:dyDescent="0.25"/>
  <cols>
    <col min="2" max="2" width="35.7109375" customWidth="1"/>
    <col min="3" max="17" width="14.28515625" customWidth="1"/>
    <col min="18" max="18" width="10.7109375" customWidth="1"/>
  </cols>
  <sheetData>
    <row r="1" spans="2:17" x14ac:dyDescent="0.25">
      <c r="C1" s="12">
        <v>2021</v>
      </c>
      <c r="D1" s="13">
        <v>2022</v>
      </c>
      <c r="E1" s="13">
        <v>2023</v>
      </c>
      <c r="F1" s="13">
        <v>2024</v>
      </c>
      <c r="G1" s="14">
        <v>2025</v>
      </c>
      <c r="H1" s="15">
        <v>2026</v>
      </c>
      <c r="I1" s="15">
        <v>2027</v>
      </c>
      <c r="J1" s="15">
        <v>2028</v>
      </c>
      <c r="K1" s="15">
        <v>2029</v>
      </c>
      <c r="L1" s="16">
        <v>2030</v>
      </c>
      <c r="M1" s="16">
        <v>2031</v>
      </c>
      <c r="N1" s="16">
        <v>2032</v>
      </c>
      <c r="O1" s="16">
        <v>2033</v>
      </c>
      <c r="P1" s="16">
        <v>2034</v>
      </c>
      <c r="Q1" s="16">
        <v>2035</v>
      </c>
    </row>
    <row r="2" spans="2:17" x14ac:dyDescent="0.25">
      <c r="B2" s="106"/>
      <c r="C2" s="106"/>
      <c r="D2" s="106"/>
      <c r="E2" s="106"/>
      <c r="F2" s="106"/>
      <c r="G2" s="106"/>
      <c r="H2" s="106"/>
    </row>
    <row r="3" spans="2:17" x14ac:dyDescent="0.25">
      <c r="B3" s="302" t="s">
        <v>114</v>
      </c>
      <c r="C3" s="302"/>
      <c r="D3" s="302"/>
      <c r="E3" s="302"/>
      <c r="F3" s="302"/>
      <c r="G3" s="302"/>
      <c r="H3" s="302"/>
      <c r="I3" s="302"/>
      <c r="J3" s="302"/>
      <c r="K3" s="302"/>
      <c r="L3" s="302"/>
      <c r="M3" s="302"/>
      <c r="N3" s="302"/>
      <c r="O3" s="302"/>
      <c r="P3" s="302"/>
      <c r="Q3" s="302"/>
    </row>
    <row r="5" spans="2:17" x14ac:dyDescent="0.25">
      <c r="B5" s="39" t="s">
        <v>115</v>
      </c>
      <c r="C5" s="124">
        <f>+CR!C6</f>
        <v>38658</v>
      </c>
      <c r="D5" s="124">
        <f>+CR!D6</f>
        <v>43046</v>
      </c>
      <c r="E5" s="124">
        <f>+CR!E6</f>
        <v>45784</v>
      </c>
      <c r="F5" s="124">
        <f>+CR!F6</f>
        <v>46897</v>
      </c>
      <c r="G5" s="124">
        <f>+CR!G6</f>
        <v>48062</v>
      </c>
      <c r="H5" s="125">
        <f t="shared" ref="H5:Q5" si="0">+H6+H8+H10+H12+H14</f>
        <v>49135.180403651641</v>
      </c>
      <c r="I5" s="125">
        <f t="shared" si="0"/>
        <v>49847.891158852995</v>
      </c>
      <c r="J5" s="125">
        <f t="shared" si="0"/>
        <v>52374.968745899183</v>
      </c>
      <c r="K5" s="125">
        <f t="shared" si="0"/>
        <v>55028.626266047831</v>
      </c>
      <c r="L5" s="125">
        <f t="shared" si="0"/>
        <v>57564.080838511683</v>
      </c>
      <c r="M5" s="125">
        <f t="shared" si="0"/>
        <v>60285.96974436126</v>
      </c>
      <c r="N5" s="125">
        <f t="shared" si="0"/>
        <v>63140.656855339861</v>
      </c>
      <c r="O5" s="125">
        <f t="shared" si="0"/>
        <v>66269.17761695871</v>
      </c>
      <c r="P5" s="125">
        <f t="shared" si="0"/>
        <v>69315.496019938379</v>
      </c>
      <c r="Q5" s="125">
        <f t="shared" si="0"/>
        <v>72612.84128952735</v>
      </c>
    </row>
    <row r="6" spans="2:17" x14ac:dyDescent="0.25">
      <c r="B6" t="s">
        <v>116</v>
      </c>
      <c r="H6" s="86">
        <f>+MODL!D22</f>
        <v>12228.3101587736</v>
      </c>
      <c r="I6" s="86">
        <f t="shared" ref="I6:Q6" si="1">+H6*(1+H7)</f>
        <v>12936.953210365373</v>
      </c>
      <c r="J6" s="86">
        <f t="shared" si="1"/>
        <v>13522.494371861945</v>
      </c>
      <c r="K6" s="86">
        <f t="shared" si="1"/>
        <v>14138.016187431074</v>
      </c>
      <c r="L6" s="86">
        <f t="shared" si="1"/>
        <v>14663.81793713377</v>
      </c>
      <c r="M6" s="86">
        <f t="shared" si="1"/>
        <v>15247.735702148904</v>
      </c>
      <c r="N6" s="86">
        <f t="shared" si="1"/>
        <v>15854.871955823977</v>
      </c>
      <c r="O6" s="86">
        <f t="shared" si="1"/>
        <v>16545.611902229255</v>
      </c>
      <c r="P6" s="86">
        <f t="shared" si="1"/>
        <v>17161.071903111046</v>
      </c>
      <c r="Q6" s="86">
        <f t="shared" si="1"/>
        <v>17844.504232666775</v>
      </c>
    </row>
    <row r="7" spans="2:17" x14ac:dyDescent="0.25">
      <c r="B7" s="126" t="s">
        <v>117</v>
      </c>
      <c r="H7" s="127">
        <f>+Drivers!H7</f>
        <v>5.7951020410071399E-2</v>
      </c>
      <c r="I7" s="127">
        <f>+Drivers!I7</f>
        <v>4.5261133125798401E-2</v>
      </c>
      <c r="J7" s="127">
        <f>+Drivers!J7</f>
        <v>4.5518363597911907E-2</v>
      </c>
      <c r="K7" s="127">
        <f>+Drivers!K7</f>
        <v>3.7190631467103802E-2</v>
      </c>
      <c r="L7" s="127">
        <f>+Drivers!L7</f>
        <v>3.9820309248143101E-2</v>
      </c>
      <c r="M7" s="127">
        <f>+Drivers!M7</f>
        <v>3.9818125493184399E-2</v>
      </c>
      <c r="N7" s="127">
        <f>+Drivers!N7</f>
        <v>4.3566415946459103E-2</v>
      </c>
      <c r="O7" s="127">
        <f>+Drivers!O7</f>
        <v>3.7197778149194199E-2</v>
      </c>
      <c r="P7" s="127">
        <f>+Drivers!P7</f>
        <v>3.9824571181467601E-2</v>
      </c>
      <c r="Q7" s="127">
        <f>+Drivers!Q7</f>
        <v>3.9822393880211499E-2</v>
      </c>
    </row>
    <row r="8" spans="2:17" x14ac:dyDescent="0.25">
      <c r="B8" t="s">
        <v>118</v>
      </c>
      <c r="H8" s="86">
        <f>+MODL!D23</f>
        <v>6858.3899567435601</v>
      </c>
      <c r="I8" s="86">
        <f t="shared" ref="I8:Q8" si="2">+H8*(1+H9)</f>
        <v>7167.9741280240723</v>
      </c>
      <c r="J8" s="86">
        <f t="shared" si="2"/>
        <v>7636.9980183723692</v>
      </c>
      <c r="K8" s="86">
        <f t="shared" si="2"/>
        <v>8133.4028895665724</v>
      </c>
      <c r="L8" s="86">
        <f t="shared" si="2"/>
        <v>8662.074077388399</v>
      </c>
      <c r="M8" s="86">
        <f t="shared" si="2"/>
        <v>9225.1088924186442</v>
      </c>
      <c r="N8" s="86">
        <f t="shared" si="2"/>
        <v>9824.7409704258553</v>
      </c>
      <c r="O8" s="86">
        <f t="shared" si="2"/>
        <v>10463.349133503536</v>
      </c>
      <c r="P8" s="86">
        <f t="shared" si="2"/>
        <v>11143.466827181266</v>
      </c>
      <c r="Q8" s="86">
        <f t="shared" si="2"/>
        <v>11867.792170948047</v>
      </c>
    </row>
    <row r="9" spans="2:17" x14ac:dyDescent="0.25">
      <c r="B9" s="126" t="s">
        <v>117</v>
      </c>
      <c r="H9" s="127">
        <f>+Drivers!H8</f>
        <v>4.5139482186502301E-2</v>
      </c>
      <c r="I9" s="127">
        <f>+Drivers!I8</f>
        <v>6.5433256589834801E-2</v>
      </c>
      <c r="J9" s="127">
        <f>+Drivers!J8</f>
        <v>6.5000000000000002E-2</v>
      </c>
      <c r="K9" s="127">
        <f>+Drivers!K8</f>
        <v>6.5000000000000002E-2</v>
      </c>
      <c r="L9" s="127">
        <f>+Drivers!L8</f>
        <v>6.5000000000000002E-2</v>
      </c>
      <c r="M9" s="127">
        <f>+Drivers!M8</f>
        <v>6.5000000000000002E-2</v>
      </c>
      <c r="N9" s="127">
        <f>+Drivers!N8</f>
        <v>6.5000000000000002E-2</v>
      </c>
      <c r="O9" s="127">
        <f>+Drivers!O8</f>
        <v>6.5000000000000002E-2</v>
      </c>
      <c r="P9" s="127">
        <f>+Drivers!P8</f>
        <v>6.5000000000000002E-2</v>
      </c>
      <c r="Q9" s="127">
        <f>+Drivers!Q8</f>
        <v>6.5000000000000002E-2</v>
      </c>
    </row>
    <row r="10" spans="2:17" x14ac:dyDescent="0.25">
      <c r="B10" t="s">
        <v>119</v>
      </c>
      <c r="H10" s="86">
        <f>+MODL!D24</f>
        <v>20552.014084367798</v>
      </c>
      <c r="I10" s="86">
        <f t="shared" ref="I10:Q10" si="3">+H10*(1+H11)</f>
        <v>21603.167164778868</v>
      </c>
      <c r="J10" s="86">
        <f t="shared" si="3"/>
        <v>22511.685076037233</v>
      </c>
      <c r="K10" s="86">
        <f t="shared" si="3"/>
        <v>23494.169231608113</v>
      </c>
      <c r="L10" s="86">
        <f t="shared" si="3"/>
        <v>24494.035023115415</v>
      </c>
      <c r="M10" s="86">
        <f t="shared" si="3"/>
        <v>25567.274592740676</v>
      </c>
      <c r="N10" s="86">
        <f t="shared" si="3"/>
        <v>26687.513197514443</v>
      </c>
      <c r="O10" s="86">
        <f t="shared" si="3"/>
        <v>27880.254709052399</v>
      </c>
      <c r="P10" s="86">
        <f t="shared" si="3"/>
        <v>29066.856161777552</v>
      </c>
      <c r="Q10" s="86">
        <f t="shared" si="3"/>
        <v>30340.519065828179</v>
      </c>
    </row>
    <row r="11" spans="2:17" x14ac:dyDescent="0.25">
      <c r="B11" s="126" t="s">
        <v>117</v>
      </c>
      <c r="H11" s="127">
        <f>+Drivers!H9</f>
        <v>5.1145988714098596E-2</v>
      </c>
      <c r="I11" s="127">
        <f>+Drivers!I9</f>
        <v>4.2054847991899097E-2</v>
      </c>
      <c r="J11" s="127">
        <f>+Drivers!J9</f>
        <v>4.3643296903468701E-2</v>
      </c>
      <c r="K11" s="127">
        <f>+Drivers!K9</f>
        <v>4.2558039897070403E-2</v>
      </c>
      <c r="L11" s="127">
        <f>+Drivers!L9</f>
        <v>4.3816364621526299E-2</v>
      </c>
      <c r="M11" s="127">
        <f>+Drivers!M9</f>
        <v>4.3815331223916995E-2</v>
      </c>
      <c r="N11" s="127">
        <f>+Drivers!N9</f>
        <v>4.4692868260540794E-2</v>
      </c>
      <c r="O11" s="127">
        <f>+Drivers!O9</f>
        <v>4.2560638886124505E-2</v>
      </c>
      <c r="P11" s="127">
        <f>+Drivers!P9</f>
        <v>4.3818392225213401E-2</v>
      </c>
      <c r="Q11" s="127">
        <f>+Drivers!Q9</f>
        <v>4.38173586565501E-2</v>
      </c>
    </row>
    <row r="12" spans="2:17" x14ac:dyDescent="0.25">
      <c r="B12" t="s">
        <v>120</v>
      </c>
      <c r="H12" s="86">
        <f>+MODL!D25</f>
        <v>5779.3125786582696</v>
      </c>
      <c r="I12" s="86">
        <f t="shared" ref="I12:Q12" si="4">+H12*(1+H13)</f>
        <v>5872.5639526485211</v>
      </c>
      <c r="J12" s="86">
        <f t="shared" si="4"/>
        <v>6108.1306947982484</v>
      </c>
      <c r="K12" s="86">
        <f t="shared" si="4"/>
        <v>6391.0108224851592</v>
      </c>
      <c r="L12" s="86">
        <f t="shared" si="4"/>
        <v>6720.0654472359547</v>
      </c>
      <c r="M12" s="86">
        <f t="shared" si="4"/>
        <v>7085.2297806919787</v>
      </c>
      <c r="N12" s="86">
        <f t="shared" si="4"/>
        <v>7470.2133268617999</v>
      </c>
      <c r="O12" s="86">
        <f t="shared" si="4"/>
        <v>7927.5053301241023</v>
      </c>
      <c r="P12" s="86">
        <f t="shared" si="4"/>
        <v>8335.7720712265691</v>
      </c>
      <c r="Q12" s="86">
        <f t="shared" si="4"/>
        <v>8788.7868711133342</v>
      </c>
    </row>
    <row r="13" spans="2:17" x14ac:dyDescent="0.25">
      <c r="B13" s="126" t="s">
        <v>117</v>
      </c>
      <c r="H13" s="127">
        <f>+Drivers!H10</f>
        <v>1.6135374704356401E-2</v>
      </c>
      <c r="I13" s="127">
        <f>+Drivers!I10</f>
        <v>4.0113099499493099E-2</v>
      </c>
      <c r="J13" s="127">
        <f>+Drivers!J10</f>
        <v>4.6312062040161396E-2</v>
      </c>
      <c r="K13" s="127">
        <f>+Drivers!K10</f>
        <v>5.14871017888281E-2</v>
      </c>
      <c r="L13" s="127">
        <f>+Drivers!L10</f>
        <v>5.4339401353036096E-2</v>
      </c>
      <c r="M13" s="127">
        <f>+Drivers!M10</f>
        <v>5.4336070683119297E-2</v>
      </c>
      <c r="N13" s="127">
        <f>+Drivers!N10</f>
        <v>6.1215387466639903E-2</v>
      </c>
      <c r="O13" s="127">
        <f>+Drivers!O10</f>
        <v>5.1500027322728299E-2</v>
      </c>
      <c r="P13" s="127">
        <f>+Drivers!P10</f>
        <v>5.4345871745999801E-2</v>
      </c>
      <c r="Q13" s="127">
        <f>+Drivers!Q10</f>
        <v>5.4342564870635199E-2</v>
      </c>
    </row>
    <row r="14" spans="2:17" x14ac:dyDescent="0.25">
      <c r="B14" s="128" t="s">
        <v>121</v>
      </c>
      <c r="H14" s="129">
        <f>+MODL!D18+MODL!D19+MODL!D20</f>
        <v>3717.153625108419</v>
      </c>
      <c r="I14" s="129">
        <f>+MODL!E18+MODL!E19+MODL!E20</f>
        <v>2267.2327030361548</v>
      </c>
      <c r="J14" s="129">
        <f>+MODL!F18+MODL!F19+MODL!F20</f>
        <v>2595.6605848293866</v>
      </c>
      <c r="K14" s="129">
        <f>+MODL!G18+MODL!G19+MODL!G20</f>
        <v>2872.0271349569139</v>
      </c>
      <c r="L14" s="129">
        <f>+MODL!H18+MODL!H19+MODL!H20</f>
        <v>3024.088353638143</v>
      </c>
      <c r="M14" s="130">
        <f>+L14*(1+AVERAGE($H$7:$L$7))</f>
        <v>3160.6207763610519</v>
      </c>
      <c r="N14" s="130">
        <f>+M14*(1+AVERAGE($H$7:$L$7))</f>
        <v>3303.3174047137868</v>
      </c>
      <c r="O14" s="130">
        <f>+N14*(1+AVERAGE($H$7:$L$7))</f>
        <v>3452.4565420494191</v>
      </c>
      <c r="P14" s="130">
        <f>+O14*(1+AVERAGE($H$7:$L$7))</f>
        <v>3608.32905664195</v>
      </c>
      <c r="Q14" s="130">
        <f>+P14*(1+AVERAGE($H$7:$L$7))</f>
        <v>3771.2389489710231</v>
      </c>
    </row>
    <row r="16" spans="2:17" x14ac:dyDescent="0.25">
      <c r="B16" s="39" t="s">
        <v>122</v>
      </c>
      <c r="C16" s="125">
        <f t="shared" ref="C16:Q16" si="5">+C5-C18</f>
        <v>15410</v>
      </c>
      <c r="D16" s="125">
        <f t="shared" si="5"/>
        <v>18183</v>
      </c>
      <c r="E16" s="125">
        <f t="shared" si="5"/>
        <v>18465</v>
      </c>
      <c r="F16" s="125">
        <f t="shared" si="5"/>
        <v>18254</v>
      </c>
      <c r="G16" s="125">
        <f t="shared" si="5"/>
        <v>18266</v>
      </c>
      <c r="H16" s="125">
        <f t="shared" si="5"/>
        <v>19591.434640619529</v>
      </c>
      <c r="I16" s="125">
        <f t="shared" si="5"/>
        <v>19875.610379132871</v>
      </c>
      <c r="J16" s="125">
        <f t="shared" si="5"/>
        <v>20883.219895810467</v>
      </c>
      <c r="K16" s="125">
        <f t="shared" si="5"/>
        <v>21941.300021648713</v>
      </c>
      <c r="L16" s="125">
        <f t="shared" si="5"/>
        <v>22952.24965351358</v>
      </c>
      <c r="M16" s="125">
        <f t="shared" si="5"/>
        <v>24037.535352271618</v>
      </c>
      <c r="N16" s="125">
        <f t="shared" si="5"/>
        <v>25175.771041948661</v>
      </c>
      <c r="O16" s="125">
        <f t="shared" si="5"/>
        <v>26423.191108783743</v>
      </c>
      <c r="P16" s="125">
        <f t="shared" si="5"/>
        <v>27637.835023718006</v>
      </c>
      <c r="Q16" s="125">
        <f t="shared" si="5"/>
        <v>28952.569676282896</v>
      </c>
    </row>
    <row r="18" spans="2:17" x14ac:dyDescent="0.25">
      <c r="B18" s="39" t="s">
        <v>123</v>
      </c>
      <c r="C18" s="124">
        <f>+CR!C10</f>
        <v>23248</v>
      </c>
      <c r="D18" s="124">
        <f>+CR!D10</f>
        <v>24863</v>
      </c>
      <c r="E18" s="124">
        <f>+CR!E10</f>
        <v>27319</v>
      </c>
      <c r="F18" s="124">
        <f>+CR!F10</f>
        <v>28643</v>
      </c>
      <c r="G18" s="124">
        <f>+CR!G10</f>
        <v>29796</v>
      </c>
      <c r="H18" s="125">
        <f t="shared" ref="H18:Q18" si="6">+H19*H5</f>
        <v>29543.745763032111</v>
      </c>
      <c r="I18" s="125">
        <f t="shared" si="6"/>
        <v>29972.280779720124</v>
      </c>
      <c r="J18" s="125">
        <f t="shared" si="6"/>
        <v>31491.748850088716</v>
      </c>
      <c r="K18" s="125">
        <f t="shared" si="6"/>
        <v>33087.326244399119</v>
      </c>
      <c r="L18" s="125">
        <f t="shared" si="6"/>
        <v>34611.831184998104</v>
      </c>
      <c r="M18" s="125">
        <f t="shared" si="6"/>
        <v>36248.434392089643</v>
      </c>
      <c r="N18" s="125">
        <f t="shared" si="6"/>
        <v>37964.8858133912</v>
      </c>
      <c r="O18" s="125">
        <f t="shared" si="6"/>
        <v>39845.986508174967</v>
      </c>
      <c r="P18" s="125">
        <f t="shared" si="6"/>
        <v>41677.660996220373</v>
      </c>
      <c r="Q18" s="125">
        <f t="shared" si="6"/>
        <v>43660.271613244455</v>
      </c>
    </row>
    <row r="19" spans="2:17" x14ac:dyDescent="0.25">
      <c r="B19" s="126" t="s">
        <v>124</v>
      </c>
      <c r="C19" s="131">
        <f>+C18/C5</f>
        <v>0.6013761705209788</v>
      </c>
      <c r="D19" s="131">
        <f>+D18/D5</f>
        <v>0.57759141383636114</v>
      </c>
      <c r="E19" s="131">
        <f>+E18/E5</f>
        <v>0.59669316791892368</v>
      </c>
      <c r="F19" s="131">
        <f>+F18/F5</f>
        <v>0.61076401475574127</v>
      </c>
      <c r="G19" s="131">
        <f>+G18/G5</f>
        <v>0.61994923224168785</v>
      </c>
      <c r="H19" s="127">
        <f>+Drivers!H37</f>
        <v>0.60127479985473853</v>
      </c>
      <c r="I19" s="127">
        <f>+Drivers!I37</f>
        <v>0.60127479985473853</v>
      </c>
      <c r="J19" s="127">
        <f>+Drivers!J37</f>
        <v>0.60127479985473853</v>
      </c>
      <c r="K19" s="127">
        <f>+Drivers!K37</f>
        <v>0.60127479985473853</v>
      </c>
      <c r="L19" s="127">
        <f>+Drivers!L37</f>
        <v>0.60127479985473853</v>
      </c>
      <c r="M19" s="127">
        <f>+Drivers!M37</f>
        <v>0.60127479985473853</v>
      </c>
      <c r="N19" s="127">
        <f>+Drivers!N37</f>
        <v>0.60127479985473853</v>
      </c>
      <c r="O19" s="127">
        <f>+Drivers!O37</f>
        <v>0.60127479985473853</v>
      </c>
      <c r="P19" s="127">
        <f>+Drivers!P37</f>
        <v>0.60127479985473853</v>
      </c>
      <c r="Q19" s="127">
        <f>+Drivers!Q37</f>
        <v>0.60127479985473853</v>
      </c>
    </row>
    <row r="21" spans="2:17" x14ac:dyDescent="0.25">
      <c r="B21" s="39" t="s">
        <v>125</v>
      </c>
      <c r="C21" s="124">
        <f>+CR!C12</f>
        <v>12139</v>
      </c>
      <c r="D21" s="124">
        <f>+CR!D12</f>
        <v>12263</v>
      </c>
      <c r="E21" s="124">
        <f>+CR!E12</f>
        <v>13983</v>
      </c>
      <c r="F21" s="124">
        <f>+CR!F12</f>
        <v>17996</v>
      </c>
      <c r="G21" s="124">
        <f>+CR!G12</f>
        <v>15481</v>
      </c>
      <c r="H21" s="125">
        <f t="shared" ref="H21:Q21" si="7">+H22*H5</f>
        <v>14456.924703915045</v>
      </c>
      <c r="I21" s="125">
        <f t="shared" si="7"/>
        <v>14262.282200179954</v>
      </c>
      <c r="J21" s="125">
        <f t="shared" si="7"/>
        <v>14847.526232036253</v>
      </c>
      <c r="K21" s="125">
        <f t="shared" si="7"/>
        <v>15426.074163686781</v>
      </c>
      <c r="L21" s="125">
        <f t="shared" si="7"/>
        <v>15849.013102901963</v>
      </c>
      <c r="M21" s="125">
        <f t="shared" si="7"/>
        <v>16296.995948781758</v>
      </c>
      <c r="N21" s="125">
        <f t="shared" si="7"/>
        <v>16752.995010505874</v>
      </c>
      <c r="O21" s="125">
        <f t="shared" si="7"/>
        <v>17251.733814598811</v>
      </c>
      <c r="P21" s="125">
        <f t="shared" si="7"/>
        <v>17698.198833177568</v>
      </c>
      <c r="Q21" s="125">
        <f t="shared" si="7"/>
        <v>18177.039764161782</v>
      </c>
    </row>
    <row r="22" spans="2:17" x14ac:dyDescent="0.25">
      <c r="B22" s="126" t="s">
        <v>126</v>
      </c>
      <c r="C22" s="131">
        <f>+C21/C5</f>
        <v>0.31401003673237105</v>
      </c>
      <c r="D22" s="131">
        <f>+D21/D5</f>
        <v>0.2848812897830228</v>
      </c>
      <c r="E22" s="131">
        <f>+E21/E5</f>
        <v>0.30541237113402064</v>
      </c>
      <c r="F22" s="131">
        <f>+F21/F5</f>
        <v>0.38373456724310723</v>
      </c>
      <c r="G22" s="131">
        <f>+G21/G5</f>
        <v>0.32210478132412301</v>
      </c>
      <c r="H22" s="127">
        <f>+Drivers!H44</f>
        <v>0.29422756943496703</v>
      </c>
      <c r="I22" s="127">
        <f>+Drivers!I44</f>
        <v>0.286116059648934</v>
      </c>
      <c r="J22" s="127">
        <f>+Drivers!J44</f>
        <v>0.28348515688992698</v>
      </c>
      <c r="K22" s="127">
        <f>+Drivers!K44</f>
        <v>0.28032817117959802</v>
      </c>
      <c r="L22" s="127">
        <f>+Drivers!L44</f>
        <v>0.27532817117959801</v>
      </c>
      <c r="M22" s="127">
        <f>+Drivers!M44</f>
        <v>0.27032817117959801</v>
      </c>
      <c r="N22" s="127">
        <f>+Drivers!N44</f>
        <v>0.265328171179598</v>
      </c>
      <c r="O22" s="127">
        <f>+Drivers!O44</f>
        <v>0.260328171179598</v>
      </c>
      <c r="P22" s="127">
        <f>+Drivers!P44</f>
        <v>0.255328171179598</v>
      </c>
      <c r="Q22" s="127">
        <f>+Drivers!Q44</f>
        <v>0.25032817117959799</v>
      </c>
    </row>
    <row r="24" spans="2:17" x14ac:dyDescent="0.25">
      <c r="B24" s="39" t="s">
        <v>127</v>
      </c>
      <c r="C24" s="308" t="s">
        <v>128</v>
      </c>
      <c r="D24" s="308"/>
      <c r="E24" s="308"/>
      <c r="F24" s="308"/>
      <c r="G24" s="308"/>
      <c r="H24" s="125">
        <f t="shared" ref="H24:Q24" si="8">+H25*H5</f>
        <v>1142.2014744352775</v>
      </c>
      <c r="I24" s="125">
        <f t="shared" si="8"/>
        <v>1246.5996866449141</v>
      </c>
      <c r="J24" s="125">
        <f t="shared" si="8"/>
        <v>1314.0286589456914</v>
      </c>
      <c r="K24" s="125">
        <f t="shared" si="8"/>
        <v>1564.5518290532018</v>
      </c>
      <c r="L24" s="125">
        <f t="shared" si="8"/>
        <v>1655.826883388552</v>
      </c>
      <c r="M24" s="125">
        <f t="shared" si="8"/>
        <v>1734.1218332644389</v>
      </c>
      <c r="N24" s="125">
        <f t="shared" si="8"/>
        <v>1816.2367145092514</v>
      </c>
      <c r="O24" s="125">
        <f t="shared" si="8"/>
        <v>1906.2284021531543</v>
      </c>
      <c r="P24" s="125">
        <f t="shared" si="8"/>
        <v>1993.8555445228167</v>
      </c>
      <c r="Q24" s="125">
        <f t="shared" si="8"/>
        <v>2088.7034576948572</v>
      </c>
    </row>
    <row r="25" spans="2:17" x14ac:dyDescent="0.25">
      <c r="B25" s="126" t="s">
        <v>129</v>
      </c>
      <c r="H25" s="127">
        <f>+Drivers!H51</f>
        <v>2.3246103200434999E-2</v>
      </c>
      <c r="I25" s="127">
        <f>+Drivers!I51</f>
        <v>2.5008072712089401E-2</v>
      </c>
      <c r="J25" s="127">
        <f>+Drivers!J51</f>
        <v>2.5088867648223202E-2</v>
      </c>
      <c r="K25" s="127">
        <f>+Drivers!K51</f>
        <v>2.8431598882535002E-2</v>
      </c>
      <c r="L25" s="127">
        <f>+Drivers!L51</f>
        <v>2.8764932215868302E-2</v>
      </c>
      <c r="M25" s="127">
        <f>+Drivers!M51</f>
        <v>2.8764932215868302E-2</v>
      </c>
      <c r="N25" s="127">
        <f>+Drivers!N51</f>
        <v>2.8764932215868302E-2</v>
      </c>
      <c r="O25" s="127">
        <f>+Drivers!O51</f>
        <v>2.8764932215868302E-2</v>
      </c>
      <c r="P25" s="127">
        <f>+Drivers!P51</f>
        <v>2.8764932215868302E-2</v>
      </c>
      <c r="Q25" s="127">
        <f>+Drivers!Q51</f>
        <v>2.8764932215868302E-2</v>
      </c>
    </row>
    <row r="27" spans="2:17" x14ac:dyDescent="0.25">
      <c r="B27" s="39" t="s">
        <v>130</v>
      </c>
      <c r="C27" s="124">
        <f>+CR!C16</f>
        <v>11109</v>
      </c>
      <c r="D27" s="124">
        <f>+CR!D16</f>
        <v>12600</v>
      </c>
      <c r="E27" s="124">
        <f>+CR!E16</f>
        <v>13336</v>
      </c>
      <c r="F27" s="124">
        <f>+CR!F16</f>
        <v>10647</v>
      </c>
      <c r="G27" s="124">
        <f>+CR!G16</f>
        <v>14315</v>
      </c>
      <c r="H27" s="125">
        <f t="shared" ref="H27:Q27" si="9">+H18-H21-H24</f>
        <v>13944.619584681788</v>
      </c>
      <c r="I27" s="125">
        <f t="shared" si="9"/>
        <v>14463.398892895257</v>
      </c>
      <c r="J27" s="125">
        <f t="shared" si="9"/>
        <v>15330.193959106771</v>
      </c>
      <c r="K27" s="125">
        <f t="shared" si="9"/>
        <v>16096.700251659135</v>
      </c>
      <c r="L27" s="125">
        <f t="shared" si="9"/>
        <v>17106.99119870759</v>
      </c>
      <c r="M27" s="125">
        <f t="shared" si="9"/>
        <v>18217.316610043446</v>
      </c>
      <c r="N27" s="125">
        <f t="shared" si="9"/>
        <v>19395.654088376075</v>
      </c>
      <c r="O27" s="125">
        <f t="shared" si="9"/>
        <v>20688.024291423</v>
      </c>
      <c r="P27" s="125">
        <f t="shared" si="9"/>
        <v>21985.606618519989</v>
      </c>
      <c r="Q27" s="125">
        <f t="shared" si="9"/>
        <v>23394.528391387816</v>
      </c>
    </row>
    <row r="28" spans="2:17" x14ac:dyDescent="0.25">
      <c r="B28" s="126" t="s">
        <v>131</v>
      </c>
      <c r="C28" s="131">
        <f t="shared" ref="C28:Q28" si="10">+C27/C5</f>
        <v>0.28736613378860781</v>
      </c>
      <c r="D28" s="131">
        <f t="shared" si="10"/>
        <v>0.29271012405333829</v>
      </c>
      <c r="E28" s="131">
        <f t="shared" si="10"/>
        <v>0.29128079678490304</v>
      </c>
      <c r="F28" s="131">
        <f t="shared" si="10"/>
        <v>0.22702944751263407</v>
      </c>
      <c r="G28" s="131">
        <f t="shared" si="10"/>
        <v>0.29784445091756478</v>
      </c>
      <c r="H28" s="131">
        <f t="shared" si="10"/>
        <v>0.28380112721933648</v>
      </c>
      <c r="I28" s="131">
        <f t="shared" si="10"/>
        <v>0.2901506674937151</v>
      </c>
      <c r="J28" s="131">
        <f t="shared" si="10"/>
        <v>0.29270077531658828</v>
      </c>
      <c r="K28" s="131">
        <f t="shared" si="10"/>
        <v>0.29251502979260552</v>
      </c>
      <c r="L28" s="131">
        <f t="shared" si="10"/>
        <v>0.29718169645927228</v>
      </c>
      <c r="M28" s="131">
        <f t="shared" si="10"/>
        <v>0.30218169645927229</v>
      </c>
      <c r="N28" s="131">
        <f t="shared" si="10"/>
        <v>0.30718169645927224</v>
      </c>
      <c r="O28" s="131">
        <f t="shared" si="10"/>
        <v>0.31218169645927218</v>
      </c>
      <c r="P28" s="131">
        <f t="shared" si="10"/>
        <v>0.31718169645927224</v>
      </c>
      <c r="Q28" s="131">
        <f t="shared" si="10"/>
        <v>0.3221816964592723</v>
      </c>
    </row>
    <row r="30" spans="2:17" x14ac:dyDescent="0.25">
      <c r="B30" s="39" t="s">
        <v>132</v>
      </c>
      <c r="C30" s="125">
        <f t="shared" ref="C30:Q30" si="11">+SUM(C31:C33)</f>
        <v>-1594</v>
      </c>
      <c r="D30" s="125">
        <f t="shared" si="11"/>
        <v>-2746</v>
      </c>
      <c r="E30" s="125">
        <f t="shared" si="11"/>
        <v>-630</v>
      </c>
      <c r="F30" s="125">
        <f t="shared" si="11"/>
        <v>-1242</v>
      </c>
      <c r="G30" s="125">
        <f t="shared" si="11"/>
        <v>-1808</v>
      </c>
      <c r="H30" s="125">
        <f t="shared" si="11"/>
        <v>293.3</v>
      </c>
      <c r="I30" s="125">
        <f t="shared" si="11"/>
        <v>293.3</v>
      </c>
      <c r="J30" s="125">
        <f t="shared" si="11"/>
        <v>293.3</v>
      </c>
      <c r="K30" s="125">
        <f t="shared" si="11"/>
        <v>293.3</v>
      </c>
      <c r="L30" s="125">
        <f t="shared" si="11"/>
        <v>293.3</v>
      </c>
      <c r="M30" s="125">
        <f t="shared" si="11"/>
        <v>293.3</v>
      </c>
      <c r="N30" s="125">
        <f t="shared" si="11"/>
        <v>293.3</v>
      </c>
      <c r="O30" s="125">
        <f t="shared" si="11"/>
        <v>293.3</v>
      </c>
      <c r="P30" s="125">
        <f t="shared" si="11"/>
        <v>293.3</v>
      </c>
      <c r="Q30" s="125">
        <f t="shared" si="11"/>
        <v>293.3</v>
      </c>
    </row>
    <row r="31" spans="2:17" x14ac:dyDescent="0.25">
      <c r="B31" s="22" t="s">
        <v>133</v>
      </c>
      <c r="C31" s="132">
        <f>+CR!C28</f>
        <v>378</v>
      </c>
      <c r="D31" s="132">
        <f>+CR!D28</f>
        <v>117</v>
      </c>
      <c r="E31" s="132">
        <f>+CR!E28</f>
        <v>191</v>
      </c>
      <c r="F31" s="132">
        <f>+CR!F28</f>
        <v>133</v>
      </c>
      <c r="G31" s="132">
        <f>+CR!G28</f>
        <v>97</v>
      </c>
      <c r="H31" s="132">
        <f>+Drivers!H61</f>
        <v>134.5</v>
      </c>
      <c r="I31" s="132">
        <f>+Drivers!I61</f>
        <v>134.5</v>
      </c>
      <c r="J31" s="132">
        <f>+Drivers!J61</f>
        <v>134.5</v>
      </c>
      <c r="K31" s="132">
        <f>+Drivers!K61</f>
        <v>134.5</v>
      </c>
      <c r="L31" s="132">
        <f>+Drivers!L61</f>
        <v>134.5</v>
      </c>
      <c r="M31" s="132">
        <f>+Drivers!M61</f>
        <v>134.5</v>
      </c>
      <c r="N31" s="132">
        <f>+Drivers!N61</f>
        <v>134.5</v>
      </c>
      <c r="O31" s="132">
        <f>+Drivers!O61</f>
        <v>134.5</v>
      </c>
      <c r="P31" s="132">
        <f>+Drivers!P61</f>
        <v>134.5</v>
      </c>
      <c r="Q31" s="132">
        <f>+Drivers!Q61</f>
        <v>134.5</v>
      </c>
    </row>
    <row r="32" spans="2:17" x14ac:dyDescent="0.25">
      <c r="B32" s="22" t="s">
        <v>134</v>
      </c>
      <c r="C32" s="132">
        <f>+CR!C26</f>
        <v>-1173</v>
      </c>
      <c r="D32" s="132">
        <f>+CR!D26</f>
        <v>408</v>
      </c>
      <c r="E32" s="132">
        <f>+CR!E26</f>
        <v>836</v>
      </c>
      <c r="F32" s="132">
        <f>+CR!F26</f>
        <v>1377</v>
      </c>
      <c r="G32" s="132">
        <f>+CR!G26</f>
        <v>-654</v>
      </c>
      <c r="H32" s="132">
        <f>+Drivers!H58</f>
        <v>158.80000000000001</v>
      </c>
      <c r="I32" s="132">
        <f>+Drivers!I58</f>
        <v>158.80000000000001</v>
      </c>
      <c r="J32" s="132">
        <f>+Drivers!J58</f>
        <v>158.80000000000001</v>
      </c>
      <c r="K32" s="132">
        <f>+Drivers!K58</f>
        <v>158.80000000000001</v>
      </c>
      <c r="L32" s="132">
        <f>+Drivers!L58</f>
        <v>158.80000000000001</v>
      </c>
      <c r="M32" s="132">
        <f>+Drivers!M58</f>
        <v>158.80000000000001</v>
      </c>
      <c r="N32" s="132">
        <f>+Drivers!N58</f>
        <v>158.80000000000001</v>
      </c>
      <c r="O32" s="132">
        <f>+Drivers!O58</f>
        <v>158.80000000000001</v>
      </c>
      <c r="P32" s="132">
        <f>+Drivers!P58</f>
        <v>158.80000000000001</v>
      </c>
      <c r="Q32" s="132">
        <f>+Drivers!Q58</f>
        <v>158.80000000000001</v>
      </c>
    </row>
    <row r="33" spans="2:17" x14ac:dyDescent="0.25">
      <c r="B33" s="22" t="s">
        <v>135</v>
      </c>
      <c r="C33" s="132">
        <f>-SUM(CR!C25,CR!C27,CR!C29,CR!C30)</f>
        <v>-799</v>
      </c>
      <c r="D33" s="132">
        <f>-SUM(CR!D25,CR!D27,CR!D29,CR!D30)</f>
        <v>-3271</v>
      </c>
      <c r="E33" s="132">
        <f>-SUM(CR!E25,CR!E27,CR!E29,CR!E30)</f>
        <v>-1657</v>
      </c>
      <c r="F33" s="132">
        <f>-SUM(CR!F25,CR!F27,CR!F29,CR!F30)</f>
        <v>-2752</v>
      </c>
      <c r="G33" s="132">
        <f>-SUM(CR!G25,CR!G27,CR!G29,CR!G30)</f>
        <v>-1251</v>
      </c>
      <c r="H33" s="133">
        <v>0</v>
      </c>
      <c r="I33" s="133">
        <v>0</v>
      </c>
      <c r="J33" s="133">
        <v>0</v>
      </c>
      <c r="K33" s="133">
        <v>0</v>
      </c>
      <c r="L33" s="133">
        <v>0</v>
      </c>
      <c r="M33" s="133">
        <v>0</v>
      </c>
      <c r="N33" s="133">
        <v>0</v>
      </c>
      <c r="O33" s="133">
        <v>0</v>
      </c>
      <c r="P33" s="133">
        <v>0</v>
      </c>
      <c r="Q33" s="133">
        <v>0</v>
      </c>
    </row>
    <row r="34" spans="2:17" x14ac:dyDescent="0.25">
      <c r="C34" s="86"/>
      <c r="D34" s="86"/>
      <c r="E34" s="86"/>
      <c r="F34" s="86"/>
      <c r="G34" s="86"/>
      <c r="H34" s="86"/>
      <c r="I34" s="86"/>
      <c r="J34" s="86"/>
      <c r="K34" s="86"/>
      <c r="L34" s="86"/>
      <c r="M34" s="86"/>
      <c r="N34" s="86"/>
      <c r="O34" s="86"/>
      <c r="P34" s="86"/>
      <c r="Q34" s="86"/>
    </row>
    <row r="35" spans="2:17" x14ac:dyDescent="0.25">
      <c r="B35" s="117" t="s">
        <v>136</v>
      </c>
      <c r="C35" s="124">
        <f>+CR!C18</f>
        <v>2142</v>
      </c>
      <c r="D35" s="124">
        <f t="shared" ref="D35:Q35" si="12">+SUM(D36:D39)</f>
        <v>1307</v>
      </c>
      <c r="E35" s="124">
        <f t="shared" si="12"/>
        <v>2459</v>
      </c>
      <c r="F35" s="124">
        <f t="shared" si="12"/>
        <v>2669</v>
      </c>
      <c r="G35" s="124">
        <f t="shared" si="12"/>
        <v>2415</v>
      </c>
      <c r="H35" s="125">
        <f t="shared" si="12"/>
        <v>725.08068766728434</v>
      </c>
      <c r="I35" s="125">
        <f t="shared" si="12"/>
        <v>753.41086332751559</v>
      </c>
      <c r="J35" s="125">
        <f t="shared" si="12"/>
        <v>742.14069534632597</v>
      </c>
      <c r="K35" s="125">
        <f t="shared" si="12"/>
        <v>745.67183172414718</v>
      </c>
      <c r="L35" s="125">
        <f t="shared" si="12"/>
        <v>749.37984079031469</v>
      </c>
      <c r="M35" s="125">
        <f t="shared" si="12"/>
        <v>752.92268249847359</v>
      </c>
      <c r="N35" s="125">
        <f t="shared" si="12"/>
        <v>756.72603265325381</v>
      </c>
      <c r="O35" s="125">
        <f t="shared" si="12"/>
        <v>760.71494441304537</v>
      </c>
      <c r="P35" s="125">
        <f t="shared" si="12"/>
        <v>765.08648944464619</v>
      </c>
      <c r="Q35" s="125">
        <f t="shared" si="12"/>
        <v>769.34317146593764</v>
      </c>
    </row>
    <row r="36" spans="2:17" x14ac:dyDescent="0.25">
      <c r="B36" s="108" t="s">
        <v>137</v>
      </c>
      <c r="C36" s="134">
        <f>+CR!C19</f>
        <v>2418</v>
      </c>
      <c r="D36" s="134">
        <f>+CR!D19</f>
        <v>858</v>
      </c>
      <c r="E36" s="134">
        <f>+CR!E19</f>
        <v>1552</v>
      </c>
      <c r="F36" s="134">
        <f>+CR!F19</f>
        <v>1681</v>
      </c>
      <c r="G36" s="134">
        <f>+CR!G19</f>
        <v>1629</v>
      </c>
      <c r="H36" s="129">
        <f>+Debt!$C$7*Debt!$D$5</f>
        <v>60.488999999999997</v>
      </c>
      <c r="I36" s="129">
        <f>+Debt!$C$7*Debt!$D$5</f>
        <v>60.488999999999997</v>
      </c>
      <c r="J36" s="129">
        <f>+Debt!$C$7*Debt!$D$5</f>
        <v>60.488999999999997</v>
      </c>
      <c r="K36" s="129">
        <f>+Debt!$C$7*Debt!$D$5</f>
        <v>60.488999999999997</v>
      </c>
      <c r="L36" s="129">
        <f>+Debt!$C$7*Debt!$D$5</f>
        <v>60.488999999999997</v>
      </c>
      <c r="M36" s="129">
        <f>+Debt!$C$7*Debt!$D$5</f>
        <v>60.488999999999997</v>
      </c>
      <c r="N36" s="129">
        <f>+Debt!$C$7*Debt!$D$5</f>
        <v>60.488999999999997</v>
      </c>
      <c r="O36" s="129">
        <f>+Debt!$C$7*Debt!$D$5</f>
        <v>60.488999999999997</v>
      </c>
      <c r="P36" s="129">
        <f>+Debt!$C$7*Debt!$D$5</f>
        <v>60.488999999999997</v>
      </c>
      <c r="Q36" s="129">
        <f>+Debt!$C$7*Debt!$D$5</f>
        <v>60.488999999999997</v>
      </c>
    </row>
    <row r="37" spans="2:17" x14ac:dyDescent="0.25">
      <c r="B37" s="108" t="s">
        <v>138</v>
      </c>
      <c r="C37" s="135"/>
      <c r="D37" s="135"/>
      <c r="E37" s="135"/>
      <c r="F37" s="135"/>
      <c r="G37" s="135"/>
      <c r="H37" s="129">
        <f>+Debt!C47</f>
        <v>1450.0530000000001</v>
      </c>
      <c r="I37" s="86">
        <f>+Debt!D47</f>
        <v>1450.0530000000001</v>
      </c>
      <c r="J37" s="86">
        <f>+Debt!E47</f>
        <v>1450.0530000000001</v>
      </c>
      <c r="K37" s="86">
        <f>+Debt!F47</f>
        <v>1450.0530000000001</v>
      </c>
      <c r="L37" s="86">
        <f>+Debt!G47</f>
        <v>1450.0530000000001</v>
      </c>
      <c r="M37" s="86">
        <f>+Debt!H47</f>
        <v>1450.0530000000001</v>
      </c>
      <c r="N37" s="86">
        <f>+Debt!I47</f>
        <v>1450.0530000000001</v>
      </c>
      <c r="O37" s="86">
        <f>+Debt!J47</f>
        <v>1450.0530000000001</v>
      </c>
      <c r="P37" s="86">
        <f>+Debt!K47</f>
        <v>1450.0530000000001</v>
      </c>
      <c r="Q37" s="86">
        <f>+Debt!L47</f>
        <v>1450.0530000000001</v>
      </c>
    </row>
    <row r="38" spans="2:17" x14ac:dyDescent="0.25">
      <c r="B38" s="108" t="s">
        <v>139</v>
      </c>
      <c r="C38" s="135"/>
      <c r="D38" s="135"/>
      <c r="E38" s="135"/>
      <c r="F38" s="135"/>
      <c r="G38" s="135"/>
      <c r="H38" s="129">
        <f>+Debt!C52</f>
        <v>67.158000000000001</v>
      </c>
      <c r="I38" s="86">
        <f>+Debt!D52</f>
        <v>68.657576579177672</v>
      </c>
      <c r="J38" s="86">
        <f>+Debt!E52</f>
        <v>69.653461662982181</v>
      </c>
      <c r="K38" s="86">
        <f>+Debt!F52</f>
        <v>73.184598040803493</v>
      </c>
      <c r="L38" s="86">
        <f>+Debt!G52</f>
        <v>76.892607106970999</v>
      </c>
      <c r="M38" s="86">
        <f>+Debt!H52</f>
        <v>80.435448815129774</v>
      </c>
      <c r="N38" s="86">
        <f>+Debt!I52</f>
        <v>84.238798969909979</v>
      </c>
      <c r="O38" s="86">
        <f>+Debt!J52</f>
        <v>88.227710729701514</v>
      </c>
      <c r="P38" s="86">
        <f>+Debt!K52</f>
        <v>92.599255761302345</v>
      </c>
      <c r="Q38" s="86">
        <f>+Debt!L52</f>
        <v>96.85593778259377</v>
      </c>
    </row>
    <row r="39" spans="2:17" x14ac:dyDescent="0.25">
      <c r="B39" s="108" t="s">
        <v>140</v>
      </c>
      <c r="C39" s="136">
        <f>+CR!C20</f>
        <v>276</v>
      </c>
      <c r="D39" s="136">
        <f>+CR!D20</f>
        <v>449</v>
      </c>
      <c r="E39" s="136">
        <f>+CR!E20</f>
        <v>907</v>
      </c>
      <c r="F39" s="136">
        <f>+CR!F20</f>
        <v>988</v>
      </c>
      <c r="G39" s="136">
        <f>+CR!G20</f>
        <v>786</v>
      </c>
      <c r="H39" s="130">
        <f>-Drivers!$H$142*(BS!G7+BS!G8)</f>
        <v>-852.61931233271571</v>
      </c>
      <c r="I39" s="137">
        <f>-Drivers!$H$142*(BS!H7+BS!H8)</f>
        <v>-825.78871325166222</v>
      </c>
      <c r="J39" s="137">
        <f>-Drivers!$H$142*(BS!I7+BS!I8)</f>
        <v>-838.05476631665636</v>
      </c>
      <c r="K39" s="137">
        <f>-Drivers!$H$142*(BS!J7+BS!J8)</f>
        <v>-838.05476631665636</v>
      </c>
      <c r="L39" s="137">
        <f>-Drivers!$H$142*(BS!K7+BS!K8)</f>
        <v>-838.05476631665636</v>
      </c>
      <c r="M39" s="137">
        <f>-Drivers!$H$142*(BS!L7+BS!L8)</f>
        <v>-838.05476631665636</v>
      </c>
      <c r="N39" s="137">
        <f>-Drivers!$H$142*(BS!M7+BS!M8)</f>
        <v>-838.05476631665636</v>
      </c>
      <c r="O39" s="137">
        <f>-Drivers!$H$142*(BS!N7+BS!N8)</f>
        <v>-838.05476631665636</v>
      </c>
      <c r="P39" s="137">
        <f>-Drivers!$H$142*(BS!O7+BS!O8)</f>
        <v>-838.05476631665636</v>
      </c>
      <c r="Q39" s="137">
        <f>-Drivers!$H$142*(BS!P7+BS!P8)</f>
        <v>-838.05476631665636</v>
      </c>
    </row>
    <row r="41" spans="2:17" x14ac:dyDescent="0.25">
      <c r="B41" s="39" t="s">
        <v>141</v>
      </c>
      <c r="C41" s="125">
        <f>+CR!C31</f>
        <v>12425</v>
      </c>
      <c r="D41" s="125">
        <f>+CR!D31</f>
        <v>11686</v>
      </c>
      <c r="E41" s="125">
        <f>+CR!E31</f>
        <v>12952</v>
      </c>
      <c r="F41" s="125">
        <f>+CR!F31</f>
        <v>13086</v>
      </c>
      <c r="G41" s="125">
        <f>+CR!G31</f>
        <v>15998</v>
      </c>
      <c r="H41" s="138">
        <f t="shared" ref="H41:Q41" si="13">+H27-H30-H35</f>
        <v>12926.238897014504</v>
      </c>
      <c r="I41" s="138">
        <f t="shared" si="13"/>
        <v>13416.688029567742</v>
      </c>
      <c r="J41" s="138">
        <f t="shared" si="13"/>
        <v>14294.753263760445</v>
      </c>
      <c r="K41" s="138">
        <f t="shared" si="13"/>
        <v>15057.728419934989</v>
      </c>
      <c r="L41" s="138">
        <f t="shared" si="13"/>
        <v>16064.311357917277</v>
      </c>
      <c r="M41" s="138">
        <f t="shared" si="13"/>
        <v>17171.093927544975</v>
      </c>
      <c r="N41" s="138">
        <f t="shared" si="13"/>
        <v>18345.628055722824</v>
      </c>
      <c r="O41" s="138">
        <f t="shared" si="13"/>
        <v>19634.009347009956</v>
      </c>
      <c r="P41" s="138">
        <f t="shared" si="13"/>
        <v>20927.220129075344</v>
      </c>
      <c r="Q41" s="138">
        <f t="shared" si="13"/>
        <v>22331.885219921878</v>
      </c>
    </row>
    <row r="42" spans="2:17" x14ac:dyDescent="0.25">
      <c r="C42" s="86"/>
      <c r="D42" s="86"/>
      <c r="E42" s="86"/>
      <c r="F42" s="86"/>
      <c r="G42" s="86"/>
    </row>
    <row r="43" spans="2:17" x14ac:dyDescent="0.25">
      <c r="B43" s="39" t="s">
        <v>142</v>
      </c>
      <c r="C43" s="125">
        <f>+CR!C32</f>
        <v>2621</v>
      </c>
      <c r="D43" s="125">
        <f>+CR!D32</f>
        <v>2115</v>
      </c>
      <c r="E43" s="125">
        <f>+CR!E32</f>
        <v>2249</v>
      </c>
      <c r="F43" s="125">
        <f>+CR!F32</f>
        <v>2437</v>
      </c>
      <c r="G43" s="125">
        <f>+CR!G32</f>
        <v>2861</v>
      </c>
      <c r="H43" s="125">
        <f t="shared" ref="H43:Q43" si="14">+H44*H41</f>
        <v>2405.9272846799827</v>
      </c>
      <c r="I43" s="125">
        <f t="shared" si="14"/>
        <v>2497.2133083376452</v>
      </c>
      <c r="J43" s="125">
        <f t="shared" si="14"/>
        <v>2660.6453106009694</v>
      </c>
      <c r="K43" s="125">
        <f t="shared" si="14"/>
        <v>2802.6558954585089</v>
      </c>
      <c r="L43" s="125">
        <f t="shared" si="14"/>
        <v>2990.0085642494491</v>
      </c>
      <c r="M43" s="125">
        <f t="shared" si="14"/>
        <v>3196.0111303238332</v>
      </c>
      <c r="N43" s="125">
        <f t="shared" si="14"/>
        <v>3414.624118083449</v>
      </c>
      <c r="O43" s="125">
        <f t="shared" si="14"/>
        <v>3654.4271827239199</v>
      </c>
      <c r="P43" s="125">
        <f t="shared" si="14"/>
        <v>3895.1291479438319</v>
      </c>
      <c r="Q43" s="125">
        <f t="shared" si="14"/>
        <v>4156.5758142812228</v>
      </c>
    </row>
    <row r="44" spans="2:17" x14ac:dyDescent="0.25">
      <c r="B44" s="126" t="s">
        <v>143</v>
      </c>
      <c r="C44" s="131">
        <f>+C43/C41</f>
        <v>0.21094567404426559</v>
      </c>
      <c r="D44" s="131">
        <f>+D43/D41</f>
        <v>0.18098579496833819</v>
      </c>
      <c r="E44" s="131">
        <f>+E43/E41</f>
        <v>0.17364113650401483</v>
      </c>
      <c r="F44" s="131">
        <f>+F43/F41</f>
        <v>0.18622955830658719</v>
      </c>
      <c r="G44" s="131">
        <f>+G43/G41</f>
        <v>0.17883485435679461</v>
      </c>
      <c r="H44" s="127">
        <f>+Drivers!H68</f>
        <v>0.18612740363600005</v>
      </c>
      <c r="I44" s="127">
        <f>+Drivers!I68</f>
        <v>0.18612740363600005</v>
      </c>
      <c r="J44" s="127">
        <f>+Drivers!J68</f>
        <v>0.18612740363600005</v>
      </c>
      <c r="K44" s="127">
        <f>+Drivers!K68</f>
        <v>0.18612740363600005</v>
      </c>
      <c r="L44" s="127">
        <f>+Drivers!L68</f>
        <v>0.18612740363600005</v>
      </c>
      <c r="M44" s="127">
        <f>+Drivers!M68</f>
        <v>0.18612740363600005</v>
      </c>
      <c r="N44" s="127">
        <f>+Drivers!N68</f>
        <v>0.18612740363600005</v>
      </c>
      <c r="O44" s="127">
        <f>+Drivers!O68</f>
        <v>0.18612740363600005</v>
      </c>
      <c r="P44" s="127">
        <f>+Drivers!P68</f>
        <v>0.18612740363600005</v>
      </c>
      <c r="Q44" s="127">
        <f>+Drivers!Q68</f>
        <v>0.18612740363600005</v>
      </c>
    </row>
    <row r="46" spans="2:17" x14ac:dyDescent="0.25">
      <c r="B46" s="39" t="s">
        <v>144</v>
      </c>
      <c r="C46" s="125">
        <f t="shared" ref="C46:Q46" si="15">+C41-C43</f>
        <v>9804</v>
      </c>
      <c r="D46" s="125">
        <f t="shared" si="15"/>
        <v>9571</v>
      </c>
      <c r="E46" s="125">
        <f t="shared" si="15"/>
        <v>10703</v>
      </c>
      <c r="F46" s="125">
        <f t="shared" si="15"/>
        <v>10649</v>
      </c>
      <c r="G46" s="125">
        <f t="shared" si="15"/>
        <v>13137</v>
      </c>
      <c r="H46" s="125">
        <f t="shared" si="15"/>
        <v>10520.311612334521</v>
      </c>
      <c r="I46" s="125">
        <f t="shared" si="15"/>
        <v>10919.474721230097</v>
      </c>
      <c r="J46" s="125">
        <f t="shared" si="15"/>
        <v>11634.107953159477</v>
      </c>
      <c r="K46" s="125">
        <f t="shared" si="15"/>
        <v>12255.07252447648</v>
      </c>
      <c r="L46" s="125">
        <f t="shared" si="15"/>
        <v>13074.302793667828</v>
      </c>
      <c r="M46" s="125">
        <f t="shared" si="15"/>
        <v>13975.082797221141</v>
      </c>
      <c r="N46" s="125">
        <f t="shared" si="15"/>
        <v>14931.003937639374</v>
      </c>
      <c r="O46" s="125">
        <f t="shared" si="15"/>
        <v>15979.582164286036</v>
      </c>
      <c r="P46" s="125">
        <f t="shared" si="15"/>
        <v>17032.09098113151</v>
      </c>
      <c r="Q46" s="125">
        <f t="shared" si="15"/>
        <v>18175.309405640655</v>
      </c>
    </row>
    <row r="47" spans="2:17" x14ac:dyDescent="0.25">
      <c r="B47" s="126" t="s">
        <v>145</v>
      </c>
      <c r="C47" s="131">
        <f t="shared" ref="C47:Q47" si="16">+C46/C5</f>
        <v>0.25360856743752908</v>
      </c>
      <c r="D47" s="131">
        <f t="shared" si="16"/>
        <v>0.22234353946940483</v>
      </c>
      <c r="E47" s="131">
        <f t="shared" si="16"/>
        <v>0.23377162327450637</v>
      </c>
      <c r="F47" s="131">
        <f t="shared" si="16"/>
        <v>0.22707209416380578</v>
      </c>
      <c r="G47" s="131">
        <f t="shared" si="16"/>
        <v>0.27333444301111065</v>
      </c>
      <c r="H47" s="131">
        <f t="shared" si="16"/>
        <v>0.21410955502572387</v>
      </c>
      <c r="I47" s="131">
        <f t="shared" si="16"/>
        <v>0.21905590121019183</v>
      </c>
      <c r="J47" s="131">
        <f t="shared" si="16"/>
        <v>0.22213107199363047</v>
      </c>
      <c r="K47" s="131">
        <f t="shared" si="16"/>
        <v>0.22270358822382141</v>
      </c>
      <c r="L47" s="131">
        <f t="shared" si="16"/>
        <v>0.22712605852851248</v>
      </c>
      <c r="M47" s="131">
        <f t="shared" si="16"/>
        <v>0.23181318732171965</v>
      </c>
      <c r="N47" s="131">
        <f t="shared" si="16"/>
        <v>0.23647210341583016</v>
      </c>
      <c r="O47" s="131">
        <f t="shared" si="16"/>
        <v>0.24113143906280735</v>
      </c>
      <c r="P47" s="131">
        <f t="shared" si="16"/>
        <v>0.24571837408813008</v>
      </c>
      <c r="Q47" s="131">
        <f t="shared" si="16"/>
        <v>0.25030434125516038</v>
      </c>
    </row>
    <row r="49" spans="2:17" x14ac:dyDescent="0.25">
      <c r="B49" s="39" t="s">
        <v>146</v>
      </c>
      <c r="C49" s="124">
        <f>+CR!C40</f>
        <v>33</v>
      </c>
      <c r="D49" s="124">
        <f>+CR!D40</f>
        <v>29</v>
      </c>
      <c r="E49" s="124">
        <f>+CR!E40</f>
        <v>-11</v>
      </c>
      <c r="F49" s="124">
        <f>+CR!F40</f>
        <v>18</v>
      </c>
      <c r="G49" s="124">
        <f>+CR!G40</f>
        <v>30</v>
      </c>
      <c r="H49" s="39"/>
      <c r="I49" s="39"/>
      <c r="J49" s="39"/>
      <c r="K49" s="39"/>
      <c r="L49" s="39"/>
      <c r="M49" s="39"/>
      <c r="N49" s="39"/>
      <c r="O49" s="39"/>
      <c r="P49" s="39"/>
      <c r="Q49" s="39"/>
    </row>
    <row r="51" spans="2:17" x14ac:dyDescent="0.25">
      <c r="B51" s="39" t="s">
        <v>147</v>
      </c>
      <c r="C51" s="125">
        <f t="shared" ref="C51:Q51" si="17">+C46-C49</f>
        <v>9771</v>
      </c>
      <c r="D51" s="125">
        <f t="shared" si="17"/>
        <v>9542</v>
      </c>
      <c r="E51" s="125">
        <f t="shared" si="17"/>
        <v>10714</v>
      </c>
      <c r="F51" s="125">
        <f t="shared" si="17"/>
        <v>10631</v>
      </c>
      <c r="G51" s="125">
        <f t="shared" si="17"/>
        <v>13107</v>
      </c>
      <c r="H51" s="125">
        <f t="shared" si="17"/>
        <v>10520.311612334521</v>
      </c>
      <c r="I51" s="125">
        <f t="shared" si="17"/>
        <v>10919.474721230097</v>
      </c>
      <c r="J51" s="125">
        <f t="shared" si="17"/>
        <v>11634.107953159477</v>
      </c>
      <c r="K51" s="125">
        <f t="shared" si="17"/>
        <v>12255.07252447648</v>
      </c>
      <c r="L51" s="125">
        <f t="shared" si="17"/>
        <v>13074.302793667828</v>
      </c>
      <c r="M51" s="125">
        <f t="shared" si="17"/>
        <v>13975.082797221141</v>
      </c>
      <c r="N51" s="125">
        <f t="shared" si="17"/>
        <v>14931.003937639374</v>
      </c>
      <c r="O51" s="125">
        <f t="shared" si="17"/>
        <v>15979.582164286036</v>
      </c>
      <c r="P51" s="125">
        <f t="shared" si="17"/>
        <v>17032.09098113151</v>
      </c>
      <c r="Q51" s="125">
        <f t="shared" si="17"/>
        <v>18175.309405640655</v>
      </c>
    </row>
    <row r="52" spans="2:17" x14ac:dyDescent="0.25">
      <c r="B52" s="126" t="s">
        <v>148</v>
      </c>
      <c r="C52" s="131">
        <f t="shared" ref="C52:Q52" si="18">+C51/C5</f>
        <v>0.25275492782865128</v>
      </c>
      <c r="D52" s="131">
        <f t="shared" si="18"/>
        <v>0.22166984156483763</v>
      </c>
      <c r="E52" s="131">
        <f t="shared" si="18"/>
        <v>0.2340118818801328</v>
      </c>
      <c r="F52" s="131">
        <f t="shared" si="18"/>
        <v>0.22668827430326033</v>
      </c>
      <c r="G52" s="131">
        <f t="shared" si="18"/>
        <v>0.27271024926137072</v>
      </c>
      <c r="H52" s="131">
        <f t="shared" si="18"/>
        <v>0.21410955502572387</v>
      </c>
      <c r="I52" s="131">
        <f t="shared" si="18"/>
        <v>0.21905590121019183</v>
      </c>
      <c r="J52" s="131">
        <f t="shared" si="18"/>
        <v>0.22213107199363047</v>
      </c>
      <c r="K52" s="131">
        <f t="shared" si="18"/>
        <v>0.22270358822382141</v>
      </c>
      <c r="L52" s="131">
        <f t="shared" si="18"/>
        <v>0.22712605852851248</v>
      </c>
      <c r="M52" s="131">
        <f t="shared" si="18"/>
        <v>0.23181318732171965</v>
      </c>
      <c r="N52" s="131">
        <f t="shared" si="18"/>
        <v>0.23647210341583016</v>
      </c>
      <c r="O52" s="131">
        <f t="shared" si="18"/>
        <v>0.24113143906280735</v>
      </c>
      <c r="P52" s="131">
        <f t="shared" si="18"/>
        <v>0.24571837408813008</v>
      </c>
      <c r="Q52" s="131">
        <f t="shared" si="18"/>
        <v>0.25030434125516038</v>
      </c>
    </row>
    <row r="54" spans="2:17" x14ac:dyDescent="0.25">
      <c r="B54" s="39" t="s">
        <v>149</v>
      </c>
      <c r="C54" s="125">
        <f t="shared" ref="C54:Q54" si="19">+C51/C55</f>
        <v>2.2644264194669756</v>
      </c>
      <c r="D54" s="125">
        <f t="shared" si="19"/>
        <v>2.2047134935304991</v>
      </c>
      <c r="E54" s="125">
        <f t="shared" si="19"/>
        <v>2.4783715012722647</v>
      </c>
      <c r="F54" s="125">
        <f t="shared" si="19"/>
        <v>2.4671617544673938</v>
      </c>
      <c r="G54" s="125">
        <f t="shared" si="19"/>
        <v>3.046014408552173</v>
      </c>
      <c r="H54" s="125">
        <f t="shared" si="19"/>
        <v>2.4448783667986338</v>
      </c>
      <c r="I54" s="125">
        <f t="shared" ca="1" si="19"/>
        <v>2.5376422777666972</v>
      </c>
      <c r="J54" s="125">
        <f t="shared" ca="1" si="19"/>
        <v>2.7183736858986425</v>
      </c>
      <c r="K54" s="125">
        <f t="shared" ca="1" si="19"/>
        <v>2.8827803196642443</v>
      </c>
      <c r="L54" s="125">
        <f t="shared" ca="1" si="19"/>
        <v>3.0976064034684394</v>
      </c>
      <c r="M54" s="125">
        <f t="shared" ca="1" si="19"/>
        <v>3.3353129687987826</v>
      </c>
      <c r="N54" s="125">
        <f t="shared" ca="1" si="19"/>
        <v>3.5903594698842118</v>
      </c>
      <c r="O54" s="125">
        <f t="shared" ca="1" si="19"/>
        <v>3.8722644114484122</v>
      </c>
      <c r="P54" s="125">
        <f t="shared" ca="1" si="19"/>
        <v>4.1603306516435916</v>
      </c>
      <c r="Q54" s="125">
        <f t="shared" ca="1" si="19"/>
        <v>4.4756311642563871</v>
      </c>
    </row>
    <row r="55" spans="2:17" x14ac:dyDescent="0.25">
      <c r="B55" s="108" t="s">
        <v>58</v>
      </c>
      <c r="C55" s="87">
        <f>+CR!C50</f>
        <v>4315</v>
      </c>
      <c r="D55" s="87">
        <f>+CR!D50</f>
        <v>4328</v>
      </c>
      <c r="E55" s="87">
        <f>+CR!E50</f>
        <v>4323</v>
      </c>
      <c r="F55" s="87">
        <f>+CR!F50</f>
        <v>4309</v>
      </c>
      <c r="G55" s="87">
        <f>+CR!G50</f>
        <v>4303</v>
      </c>
      <c r="H55" s="87">
        <f>+Drivers!H130</f>
        <v>4303</v>
      </c>
      <c r="I55" s="87">
        <f ca="1">+Drivers!I130</f>
        <v>4303</v>
      </c>
      <c r="J55" s="87">
        <f ca="1">+Drivers!J130</f>
        <v>4279.8045071987453</v>
      </c>
      <c r="K55" s="87">
        <f ca="1">+Drivers!K130</f>
        <v>4251.1295227323535</v>
      </c>
      <c r="L55" s="87">
        <f ca="1">+Drivers!L130</f>
        <v>4220.7760091883601</v>
      </c>
      <c r="M55" s="87">
        <f ca="1">+Drivers!M130</f>
        <v>4190.036415759294</v>
      </c>
      <c r="N55" s="87">
        <f ca="1">+Drivers!N130</f>
        <v>4158.6376135537466</v>
      </c>
      <c r="O55" s="87">
        <f ca="1">+Drivers!O130</f>
        <v>4126.6764007752527</v>
      </c>
      <c r="P55" s="87">
        <f ca="1">+Drivers!P130</f>
        <v>4093.9272397502264</v>
      </c>
      <c r="Q55" s="87">
        <f ca="1">+Drivers!Q130</f>
        <v>4060.9488893530011</v>
      </c>
    </row>
    <row r="57" spans="2:17" x14ac:dyDescent="0.25">
      <c r="B57" s="39" t="s">
        <v>150</v>
      </c>
      <c r="C57" s="125">
        <f t="shared" ref="C57:Q57" si="20">+C51/C58</f>
        <v>2.2513824884792628</v>
      </c>
      <c r="D57" s="125">
        <f t="shared" si="20"/>
        <v>2.1935632183908047</v>
      </c>
      <c r="E57" s="125">
        <f t="shared" si="20"/>
        <v>2.4692325420603827</v>
      </c>
      <c r="F57" s="125">
        <f t="shared" si="20"/>
        <v>2.4608796296296296</v>
      </c>
      <c r="G57" s="125">
        <f t="shared" si="20"/>
        <v>3.038952005564572</v>
      </c>
      <c r="H57" s="125">
        <f t="shared" si="20"/>
        <v>2.4354023079758216</v>
      </c>
      <c r="I57" s="125">
        <f t="shared" ca="1" si="20"/>
        <v>2.5278066770178302</v>
      </c>
      <c r="J57" s="125">
        <f t="shared" ca="1" si="20"/>
        <v>2.7078375916291799</v>
      </c>
      <c r="K57" s="125">
        <f t="shared" ca="1" si="20"/>
        <v>2.8716070047650848</v>
      </c>
      <c r="L57" s="125">
        <f t="shared" ca="1" si="20"/>
        <v>3.0856004481261201</v>
      </c>
      <c r="M57" s="125">
        <f t="shared" ca="1" si="20"/>
        <v>3.322385690978328</v>
      </c>
      <c r="N57" s="125">
        <f t="shared" ca="1" si="20"/>
        <v>3.5764436620494804</v>
      </c>
      <c r="O57" s="125">
        <f t="shared" ca="1" si="20"/>
        <v>3.8572559734669296</v>
      </c>
      <c r="P57" s="125">
        <f t="shared" ca="1" si="20"/>
        <v>4.1442057030520001</v>
      </c>
      <c r="Q57" s="125">
        <f t="shared" ca="1" si="20"/>
        <v>4.4582841482421562</v>
      </c>
    </row>
    <row r="58" spans="2:17" x14ac:dyDescent="0.25">
      <c r="B58" s="108" t="s">
        <v>151</v>
      </c>
      <c r="C58" s="87">
        <f>+CR!C55</f>
        <v>4340</v>
      </c>
      <c r="D58" s="87">
        <f>+CR!D55</f>
        <v>4350</v>
      </c>
      <c r="E58" s="87">
        <f>+CR!E55</f>
        <v>4339</v>
      </c>
      <c r="F58" s="87">
        <f>+CR!F55</f>
        <v>4320</v>
      </c>
      <c r="G58" s="87">
        <f>+CR!G55</f>
        <v>4313</v>
      </c>
      <c r="H58" s="87">
        <f>+H55*(1+Drivers!H114)</f>
        <v>4319.7428112312382</v>
      </c>
      <c r="I58" s="87">
        <f ca="1">+I55*(1+Drivers!I114)</f>
        <v>4319.7428112312382</v>
      </c>
      <c r="J58" s="87">
        <f ca="1">+J55*(1+Drivers!J114)</f>
        <v>4296.4570656395144</v>
      </c>
      <c r="K58" s="87">
        <f ca="1">+K55*(1+Drivers!K114)</f>
        <v>4267.6705078865834</v>
      </c>
      <c r="L58" s="87">
        <f ca="1">+L55*(1+Drivers!L114)</f>
        <v>4237.198889962513</v>
      </c>
      <c r="M58" s="87">
        <f ca="1">+M55*(1+Drivers!M114)</f>
        <v>4206.339689931051</v>
      </c>
      <c r="N58" s="87">
        <f ca="1">+N55*(1+Drivers!N114)</f>
        <v>4174.818716166541</v>
      </c>
      <c r="O58" s="87">
        <f ca="1">+O55*(1+Drivers!O114)</f>
        <v>4142.7331435106889</v>
      </c>
      <c r="P58" s="87">
        <f ca="1">+P55*(1+Drivers!P114)</f>
        <v>4109.8565567312999</v>
      </c>
      <c r="Q58" s="87">
        <f ca="1">+Q55*(1+Drivers!Q114)</f>
        <v>4076.749888812481</v>
      </c>
    </row>
    <row r="61" spans="2:17" x14ac:dyDescent="0.25">
      <c r="B61" s="39" t="s">
        <v>152</v>
      </c>
      <c r="C61" s="125">
        <f>+CR!C62</f>
        <v>12903</v>
      </c>
      <c r="D61" s="125">
        <f>+CR!D62</f>
        <v>14257</v>
      </c>
      <c r="E61" s="125">
        <f>+CR!E62</f>
        <v>14861</v>
      </c>
      <c r="F61" s="125">
        <f>+CR!F62</f>
        <v>12084</v>
      </c>
      <c r="G61" s="125">
        <f>+CR!G62</f>
        <v>15770</v>
      </c>
      <c r="H61" s="125">
        <f t="shared" ref="H61:Q61" si="21">+H27+H24</f>
        <v>15086.821059117066</v>
      </c>
      <c r="I61" s="125">
        <f t="shared" si="21"/>
        <v>15709.99857954017</v>
      </c>
      <c r="J61" s="125">
        <f t="shared" si="21"/>
        <v>16644.222618052463</v>
      </c>
      <c r="K61" s="125">
        <f t="shared" si="21"/>
        <v>17661.252080712336</v>
      </c>
      <c r="L61" s="125">
        <f t="shared" si="21"/>
        <v>18762.818082096142</v>
      </c>
      <c r="M61" s="125">
        <f t="shared" si="21"/>
        <v>19951.438443307885</v>
      </c>
      <c r="N61" s="125">
        <f t="shared" si="21"/>
        <v>21211.890802885326</v>
      </c>
      <c r="O61" s="125">
        <f t="shared" si="21"/>
        <v>22594.252693576156</v>
      </c>
      <c r="P61" s="125">
        <f t="shared" si="21"/>
        <v>23979.462163042805</v>
      </c>
      <c r="Q61" s="125">
        <f t="shared" si="21"/>
        <v>25483.231849082673</v>
      </c>
    </row>
    <row r="62" spans="2:17" x14ac:dyDescent="0.25">
      <c r="B62" s="126" t="s">
        <v>153</v>
      </c>
      <c r="C62" s="131">
        <f>+CR!C63/100</f>
        <v>0.33377299999999999</v>
      </c>
      <c r="D62" s="131">
        <f>+CR!D63/100</f>
        <v>0.33120399999999994</v>
      </c>
      <c r="E62" s="131">
        <f>+CR!E63/100</f>
        <v>0.32458900000000002</v>
      </c>
      <c r="F62" s="131">
        <f>+CR!F63/100</f>
        <v>0.25767099999999998</v>
      </c>
      <c r="G62" s="131">
        <f>+CR!G63/100</f>
        <v>0.32811799999999997</v>
      </c>
      <c r="H62" s="131">
        <f t="shared" ref="H62:Q62" si="22">+H61/H5</f>
        <v>0.3070472304197715</v>
      </c>
      <c r="I62" s="131">
        <f t="shared" si="22"/>
        <v>0.31515874020580448</v>
      </c>
      <c r="J62" s="131">
        <f t="shared" si="22"/>
        <v>0.31778964296481149</v>
      </c>
      <c r="K62" s="131">
        <f t="shared" si="22"/>
        <v>0.32094662867514051</v>
      </c>
      <c r="L62" s="131">
        <f t="shared" si="22"/>
        <v>0.32594662867514057</v>
      </c>
      <c r="M62" s="131">
        <f t="shared" si="22"/>
        <v>0.33094662867514058</v>
      </c>
      <c r="N62" s="131">
        <f t="shared" si="22"/>
        <v>0.33594662867514052</v>
      </c>
      <c r="O62" s="131">
        <f t="shared" si="22"/>
        <v>0.34094662867514053</v>
      </c>
      <c r="P62" s="131">
        <f t="shared" si="22"/>
        <v>0.34594662867514053</v>
      </c>
      <c r="Q62" s="131">
        <f t="shared" si="22"/>
        <v>0.35094662867514059</v>
      </c>
    </row>
    <row r="67" spans="2:2" x14ac:dyDescent="0.25">
      <c r="B67" s="57"/>
    </row>
  </sheetData>
  <mergeCells count="2">
    <mergeCell ref="B3:Q3"/>
    <mergeCell ref="C24:G24"/>
  </mergeCells>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39"/>
  <sheetViews>
    <sheetView showGridLines="0" zoomScale="80" zoomScaleNormal="80" workbookViewId="0">
      <selection activeCell="H35" sqref="H35"/>
    </sheetView>
  </sheetViews>
  <sheetFormatPr defaultColWidth="8.7109375" defaultRowHeight="15" x14ac:dyDescent="0.25"/>
  <cols>
    <col min="2" max="2" width="35.7109375" customWidth="1"/>
    <col min="3" max="17" width="14.28515625" customWidth="1"/>
  </cols>
  <sheetData>
    <row r="1" spans="2:17" x14ac:dyDescent="0.25">
      <c r="C1" s="12">
        <v>2021</v>
      </c>
      <c r="D1" s="13">
        <v>2022</v>
      </c>
      <c r="E1" s="13">
        <v>2023</v>
      </c>
      <c r="F1" s="13">
        <v>2024</v>
      </c>
      <c r="G1" s="14">
        <v>2025</v>
      </c>
      <c r="H1" s="15">
        <v>2026</v>
      </c>
      <c r="I1" s="15">
        <v>2027</v>
      </c>
      <c r="J1" s="15">
        <v>2028</v>
      </c>
      <c r="K1" s="15">
        <v>2029</v>
      </c>
      <c r="L1" s="16">
        <v>2030</v>
      </c>
      <c r="M1" s="16">
        <v>2031</v>
      </c>
      <c r="N1" s="16">
        <v>2032</v>
      </c>
      <c r="O1" s="16">
        <v>2033</v>
      </c>
      <c r="P1" s="16">
        <v>2034</v>
      </c>
      <c r="Q1" s="16">
        <v>2035</v>
      </c>
    </row>
    <row r="3" spans="2:17" x14ac:dyDescent="0.25">
      <c r="B3" s="302" t="s">
        <v>154</v>
      </c>
      <c r="C3" s="302"/>
      <c r="D3" s="302"/>
      <c r="E3" s="302"/>
      <c r="F3" s="302"/>
      <c r="G3" s="302"/>
      <c r="H3" s="302"/>
      <c r="I3" s="302"/>
      <c r="J3" s="302"/>
      <c r="K3" s="302"/>
      <c r="L3" s="302"/>
      <c r="M3" s="302"/>
      <c r="N3" s="302"/>
      <c r="O3" s="302"/>
      <c r="P3" s="302"/>
      <c r="Q3" s="302"/>
    </row>
    <row r="5" spans="2:17" x14ac:dyDescent="0.25">
      <c r="B5" s="139" t="s">
        <v>155</v>
      </c>
    </row>
    <row r="7" spans="2:17" x14ac:dyDescent="0.25">
      <c r="B7" s="22" t="s">
        <v>144</v>
      </c>
      <c r="C7" s="129">
        <f>+FC!C7</f>
        <v>9771</v>
      </c>
      <c r="D7" s="129">
        <f>+FC!D7</f>
        <v>9542</v>
      </c>
      <c r="E7" s="129">
        <f>+FC!E7</f>
        <v>10714</v>
      </c>
      <c r="F7" s="129">
        <f>+FC!F7</f>
        <v>10631</v>
      </c>
      <c r="G7" s="129">
        <f>+FC!G7</f>
        <v>13107</v>
      </c>
      <c r="H7" s="86">
        <f>+IS!H46</f>
        <v>10520.311612334521</v>
      </c>
      <c r="I7" s="86">
        <f>+IS!I46</f>
        <v>10919.474721230097</v>
      </c>
      <c r="J7" s="86">
        <f>+IS!J46</f>
        <v>11634.107953159477</v>
      </c>
      <c r="K7" s="86">
        <f>+IS!K46</f>
        <v>12255.07252447648</v>
      </c>
      <c r="L7" s="86">
        <f>+IS!L46</f>
        <v>13074.302793667828</v>
      </c>
      <c r="M7" s="86">
        <f>+IS!M46</f>
        <v>13975.082797221141</v>
      </c>
      <c r="N7" s="86">
        <f>+IS!N46</f>
        <v>14931.003937639374</v>
      </c>
      <c r="O7" s="86">
        <f>+IS!O46</f>
        <v>15979.582164286036</v>
      </c>
      <c r="P7" s="86">
        <f>+IS!P46</f>
        <v>17032.09098113151</v>
      </c>
      <c r="Q7" s="86">
        <f>+IS!Q46</f>
        <v>18175.309405640655</v>
      </c>
    </row>
    <row r="8" spans="2:17" x14ac:dyDescent="0.25">
      <c r="B8" s="22" t="s">
        <v>156</v>
      </c>
      <c r="C8" s="129">
        <f>+FC!C8</f>
        <v>1452</v>
      </c>
      <c r="D8" s="129">
        <f>+FC!D8</f>
        <v>1260</v>
      </c>
      <c r="E8" s="129">
        <f>+FC!E8</f>
        <v>1128</v>
      </c>
      <c r="F8" s="129">
        <f>+FC!F8</f>
        <v>1075</v>
      </c>
      <c r="G8" s="129">
        <f>+FC!G8</f>
        <v>1050</v>
      </c>
      <c r="H8" s="86">
        <f>+IS!H24</f>
        <v>1142.2014744352775</v>
      </c>
      <c r="I8" s="86">
        <f>+IS!I24</f>
        <v>1246.5996866449141</v>
      </c>
      <c r="J8" s="86">
        <f>+IS!J24</f>
        <v>1314.0286589456914</v>
      </c>
      <c r="K8" s="86">
        <f>+IS!K24</f>
        <v>1564.5518290532018</v>
      </c>
      <c r="L8" s="86">
        <f>+IS!L24</f>
        <v>1655.826883388552</v>
      </c>
      <c r="M8" s="86">
        <f>+IS!M24</f>
        <v>1734.1218332644389</v>
      </c>
      <c r="N8" s="86">
        <f>+IS!N24</f>
        <v>1816.2367145092514</v>
      </c>
      <c r="O8" s="86">
        <f>+IS!O24</f>
        <v>1906.2284021531543</v>
      </c>
      <c r="P8" s="86">
        <f>+IS!P24</f>
        <v>1993.8555445228167</v>
      </c>
      <c r="Q8" s="86">
        <f>+IS!Q24</f>
        <v>2088.7034576948572</v>
      </c>
    </row>
    <row r="9" spans="2:17" x14ac:dyDescent="0.25">
      <c r="B9" s="22" t="s">
        <v>157</v>
      </c>
      <c r="C9" s="129">
        <f>+FC!C10</f>
        <v>337</v>
      </c>
      <c r="D9" s="129">
        <f>+FC!D10</f>
        <v>356</v>
      </c>
      <c r="E9" s="129">
        <f>+FC!E10</f>
        <v>254</v>
      </c>
      <c r="F9" s="129">
        <f>+FC!F10</f>
        <v>286</v>
      </c>
      <c r="G9" s="129">
        <f>+FC!G10</f>
        <v>279</v>
      </c>
      <c r="H9" s="86">
        <f>+Drivers!H122*IS!H5</f>
        <v>285.82364555375506</v>
      </c>
      <c r="I9" s="86">
        <f>+Drivers!I122*IS!I5</f>
        <v>289.96954640531442</v>
      </c>
      <c r="J9" s="86">
        <f>+Drivers!J122*IS!J5</f>
        <v>304.66977794192331</v>
      </c>
      <c r="K9" s="86">
        <f>+Drivers!K122*IS!K5</f>
        <v>320.10633602981534</v>
      </c>
      <c r="L9" s="86">
        <f>+Drivers!L122*IS!L5</f>
        <v>334.85529722389492</v>
      </c>
      <c r="M9" s="86">
        <f>+Drivers!M122*IS!M5</f>
        <v>350.68876325517925</v>
      </c>
      <c r="N9" s="86">
        <f>+Drivers!N122*IS!N5</f>
        <v>367.29472807045408</v>
      </c>
      <c r="O9" s="86">
        <f>+Drivers!O122*IS!O5</f>
        <v>385.49360720207636</v>
      </c>
      <c r="P9" s="86">
        <f>+Drivers!P122*IS!P5</f>
        <v>403.21430801774756</v>
      </c>
      <c r="Q9" s="86">
        <f>+Drivers!Q122*IS!Q5</f>
        <v>422.39525409062099</v>
      </c>
    </row>
    <row r="10" spans="2:17" x14ac:dyDescent="0.25">
      <c r="B10" s="22" t="s">
        <v>158</v>
      </c>
      <c r="C10" s="129">
        <f>+FC!C11</f>
        <v>894</v>
      </c>
      <c r="D10" s="129">
        <f>+FC!D11</f>
        <v>-122</v>
      </c>
      <c r="E10" s="129">
        <f>+FC!E11</f>
        <v>-2</v>
      </c>
      <c r="F10" s="129">
        <f>+FC!F11</f>
        <v>-11</v>
      </c>
      <c r="G10" s="129">
        <f>+FC!G11</f>
        <v>517</v>
      </c>
      <c r="H10" s="86">
        <f>+Drivers!H124*IS!H43</f>
        <v>140.58877000173618</v>
      </c>
      <c r="I10" s="86">
        <f>+Drivers!I124*IS!I43</f>
        <v>145.92300843283957</v>
      </c>
      <c r="J10" s="86">
        <f>+Drivers!J124*IS!J43</f>
        <v>155.47304941846224</v>
      </c>
      <c r="K10" s="86">
        <f>+Drivers!K124*IS!K43</f>
        <v>163.77134404252618</v>
      </c>
      <c r="L10" s="86">
        <f>+Drivers!L124*IS!L43</f>
        <v>174.71917335955578</v>
      </c>
      <c r="M10" s="86">
        <f>+Drivers!M124*IS!M43</f>
        <v>186.75679709241575</v>
      </c>
      <c r="N10" s="86">
        <f>+Drivers!N124*IS!N43</f>
        <v>199.53130247802511</v>
      </c>
      <c r="O10" s="86">
        <f>+Drivers!O124*IS!O43</f>
        <v>213.54403599458897</v>
      </c>
      <c r="P10" s="86">
        <f>+Drivers!P124*IS!P43</f>
        <v>227.60929617212972</v>
      </c>
      <c r="Q10" s="86">
        <f>+Drivers!Q124*IS!Q43</f>
        <v>242.88675924238922</v>
      </c>
    </row>
    <row r="11" spans="2:17" x14ac:dyDescent="0.25">
      <c r="B11" s="22" t="s">
        <v>159</v>
      </c>
      <c r="C11" s="140">
        <f>+FC!C13</f>
        <v>1325</v>
      </c>
      <c r="D11" s="140">
        <f>+FC!D13</f>
        <v>-605</v>
      </c>
      <c r="E11" s="140">
        <f>+FC!E13</f>
        <v>-846</v>
      </c>
      <c r="F11" s="140">
        <f>+FC!F13</f>
        <v>-6234</v>
      </c>
      <c r="G11" s="140">
        <f>+FC!G13</f>
        <v>-7208</v>
      </c>
      <c r="H11" s="141">
        <f t="shared" ref="H11:Q11" si="0">+SUM(H12:H16)</f>
        <v>-669.80548764349135</v>
      </c>
      <c r="I11" s="141">
        <f t="shared" si="0"/>
        <v>105.72115099463252</v>
      </c>
      <c r="J11" s="141">
        <f t="shared" si="0"/>
        <v>345.45330432763416</v>
      </c>
      <c r="K11" s="141">
        <f t="shared" si="0"/>
        <v>357.32380260704531</v>
      </c>
      <c r="L11" s="141">
        <f t="shared" si="0"/>
        <v>350.8885268072554</v>
      </c>
      <c r="M11" s="141">
        <f t="shared" si="0"/>
        <v>377.58401818999744</v>
      </c>
      <c r="N11" s="141">
        <f t="shared" si="0"/>
        <v>396.47568300395881</v>
      </c>
      <c r="O11" s="141">
        <f t="shared" si="0"/>
        <v>434.54763883027636</v>
      </c>
      <c r="P11" s="141">
        <f t="shared" si="0"/>
        <v>424.45100634306482</v>
      </c>
      <c r="Q11" s="141">
        <f t="shared" si="0"/>
        <v>459.59419106428038</v>
      </c>
    </row>
    <row r="12" spans="2:17" x14ac:dyDescent="0.25">
      <c r="B12" s="108" t="s">
        <v>160</v>
      </c>
      <c r="C12" s="86"/>
      <c r="D12" s="86"/>
      <c r="E12" s="86"/>
      <c r="F12" s="86"/>
      <c r="G12" s="86"/>
      <c r="H12" s="130">
        <f>+-(BS!H9-BS!G9)</f>
        <v>-751.77141652176533</v>
      </c>
      <c r="I12" s="130">
        <f>+-(BS!I9-BS!H9)</f>
        <v>-54.971017224737352</v>
      </c>
      <c r="J12" s="130">
        <f>+-(BS!J9-BS!I9)</f>
        <v>-194.91220604145201</v>
      </c>
      <c r="K12" s="130">
        <f>+-(BS!K9-BS!J9)</f>
        <v>-204.67525175403625</v>
      </c>
      <c r="L12" s="130">
        <f>+-(BS!L9-BS!K9)</f>
        <v>-195.55831865631626</v>
      </c>
      <c r="M12" s="130">
        <f>+-(BS!M9-BS!L9)</f>
        <v>-209.9379037503204</v>
      </c>
      <c r="N12" s="130">
        <f>+-(BS!N9-BS!M9)</f>
        <v>-220.18056161437835</v>
      </c>
      <c r="O12" s="130">
        <f>+-(BS!O9-BS!N9)</f>
        <v>-241.30121149401293</v>
      </c>
      <c r="P12" s="130">
        <f>+-(BS!P9-BS!O9)</f>
        <v>-234.9609854770888</v>
      </c>
      <c r="Q12" s="130">
        <f>+-(BS!Q9-BS!P9)</f>
        <v>-254.32255973080464</v>
      </c>
    </row>
    <row r="13" spans="2:17" x14ac:dyDescent="0.25">
      <c r="B13" s="108" t="s">
        <v>161</v>
      </c>
      <c r="C13" s="86"/>
      <c r="D13" s="86"/>
      <c r="E13" s="86"/>
      <c r="F13" s="86"/>
      <c r="G13" s="86"/>
      <c r="H13" s="130">
        <f>+-(BS!H10-BS!G10)</f>
        <v>-258.12799673930658</v>
      </c>
      <c r="I13" s="130">
        <f>+-(BS!I10-BS!H10)</f>
        <v>-67.929244664229373</v>
      </c>
      <c r="J13" s="130">
        <f>+-(BS!J10-BS!I10)</f>
        <v>-240.85853965744082</v>
      </c>
      <c r="K13" s="130">
        <f>+-(BS!K10-BS!J10)</f>
        <v>-252.92301207145465</v>
      </c>
      <c r="L13" s="130">
        <f>+-(BS!L10-BS!K10)</f>
        <v>-241.6569593358754</v>
      </c>
      <c r="M13" s="130">
        <f>+-(BS!M10-BS!L10)</f>
        <v>-259.42622036350349</v>
      </c>
      <c r="N13" s="130">
        <f>+-(BS!N10-BS!M10)</f>
        <v>-272.08336311229323</v>
      </c>
      <c r="O13" s="130">
        <f>+-(BS!O10-BS!N10)</f>
        <v>-298.18274903552719</v>
      </c>
      <c r="P13" s="130">
        <f>+-(BS!P10-BS!O10)</f>
        <v>-290.34795197202675</v>
      </c>
      <c r="Q13" s="130">
        <f>+-(BS!Q10-BS!P10)</f>
        <v>-314.27359826647444</v>
      </c>
    </row>
    <row r="14" spans="2:17" x14ac:dyDescent="0.25">
      <c r="B14" s="108" t="s">
        <v>162</v>
      </c>
      <c r="C14" s="86"/>
      <c r="D14" s="86"/>
      <c r="E14" s="86"/>
      <c r="F14" s="86"/>
      <c r="G14" s="86"/>
      <c r="H14" s="130">
        <f>+(BS!H24-BS!G24)</f>
        <v>233.04440552069354</v>
      </c>
      <c r="I14" s="130">
        <f>+(BS!I24-BS!H24)</f>
        <v>85.319648283513743</v>
      </c>
      <c r="J14" s="130">
        <f>+(BS!J24-BS!I24)</f>
        <v>302.52015889814538</v>
      </c>
      <c r="K14" s="130">
        <f>+(BS!K24-BS!J24)</f>
        <v>317.67322806854372</v>
      </c>
      <c r="L14" s="130">
        <f>+(BS!L24-BS!K24)</f>
        <v>303.52298009074821</v>
      </c>
      <c r="M14" s="130">
        <f>+(BS!M24-BS!L24)</f>
        <v>325.84130717695461</v>
      </c>
      <c r="N14" s="130">
        <f>+(BS!N24-BS!M24)</f>
        <v>341.7387747984294</v>
      </c>
      <c r="O14" s="130">
        <f>+(BS!O24-BS!N24)</f>
        <v>374.51980215112599</v>
      </c>
      <c r="P14" s="130">
        <f>+(BS!P24-BS!O24)</f>
        <v>364.67923741152299</v>
      </c>
      <c r="Q14" s="130">
        <f>+(BS!Q24-BS!P24)</f>
        <v>394.73003124690877</v>
      </c>
    </row>
    <row r="15" spans="2:17" x14ac:dyDescent="0.25">
      <c r="B15" s="108" t="s">
        <v>163</v>
      </c>
      <c r="C15" s="86"/>
      <c r="D15" s="86"/>
      <c r="E15" s="86"/>
      <c r="F15" s="86"/>
      <c r="G15" s="86"/>
      <c r="H15" s="130">
        <f>+(BS!H25-BS!G25)</f>
        <v>190.55639725277979</v>
      </c>
      <c r="I15" s="130">
        <f>+(BS!I25-BS!H25)</f>
        <v>126.55057186318481</v>
      </c>
      <c r="J15" s="130">
        <f>+(BS!J25-BS!I25)</f>
        <v>448.71374740652027</v>
      </c>
      <c r="K15" s="130">
        <f>+(BS!K25-BS!J25)</f>
        <v>471.18957340411544</v>
      </c>
      <c r="L15" s="130">
        <f>+(BS!L25-BS!K25)</f>
        <v>450.20118433287098</v>
      </c>
      <c r="M15" s="130">
        <f>+(BS!M25-BS!L25)</f>
        <v>483.30489622821187</v>
      </c>
      <c r="N15" s="130">
        <f>+(BS!N25-BS!M25)</f>
        <v>506.88485300427419</v>
      </c>
      <c r="O15" s="130">
        <f>+(BS!O25-BS!N25)</f>
        <v>555.5073900306943</v>
      </c>
      <c r="P15" s="130">
        <f>+(BS!P25-BS!O25)</f>
        <v>540.91134890409194</v>
      </c>
      <c r="Q15" s="130">
        <f>+(BS!Q25-BS!P25)</f>
        <v>585.48426055245909</v>
      </c>
    </row>
    <row r="16" spans="2:17" x14ac:dyDescent="0.25">
      <c r="B16" s="108" t="s">
        <v>164</v>
      </c>
      <c r="C16" s="86"/>
      <c r="D16" s="86"/>
      <c r="E16" s="86"/>
      <c r="F16" s="86"/>
      <c r="G16" s="86"/>
      <c r="H16" s="130">
        <f>+(BS!H26-BS!G26)</f>
        <v>-83.506877155892766</v>
      </c>
      <c r="I16" s="130">
        <f>+(BS!I26-BS!H26)</f>
        <v>16.751192736900691</v>
      </c>
      <c r="J16" s="130">
        <f>+(BS!J26-BS!I26)</f>
        <v>29.99014372186133</v>
      </c>
      <c r="K16" s="130">
        <f>+(BS!K26-BS!J26)</f>
        <v>26.059264959877055</v>
      </c>
      <c r="L16" s="130">
        <f>+(BS!L26-BS!K26)</f>
        <v>34.379640375827876</v>
      </c>
      <c r="M16" s="130">
        <f>+(BS!M26-BS!L26)</f>
        <v>37.801938898654839</v>
      </c>
      <c r="N16" s="130">
        <f>+(BS!N26-BS!M26)</f>
        <v>40.115979927926787</v>
      </c>
      <c r="O16" s="130">
        <f>+(BS!O26-BS!N26)</f>
        <v>44.0044071779962</v>
      </c>
      <c r="P16" s="130">
        <f>+(BS!P26-BS!O26)</f>
        <v>44.169357476565438</v>
      </c>
      <c r="Q16" s="130">
        <f>+(BS!Q26-BS!P26)</f>
        <v>47.976057262191603</v>
      </c>
    </row>
    <row r="17" spans="2:17" x14ac:dyDescent="0.25">
      <c r="B17" s="53" t="s">
        <v>165</v>
      </c>
      <c r="C17" s="142">
        <f>+FC!C16</f>
        <v>12625</v>
      </c>
      <c r="D17" s="142">
        <f>+FC!D16</f>
        <v>11018</v>
      </c>
      <c r="E17" s="142">
        <f>+FC!E16</f>
        <v>11599</v>
      </c>
      <c r="F17" s="142">
        <f>+FC!F16</f>
        <v>6805</v>
      </c>
      <c r="G17" s="142">
        <f>+FC!G16</f>
        <v>7408</v>
      </c>
      <c r="H17" s="143">
        <f t="shared" ref="H17:Q17" si="1">+SUM(H7:H11)</f>
        <v>11419.120014681799</v>
      </c>
      <c r="I17" s="143">
        <f t="shared" si="1"/>
        <v>12707.688113707796</v>
      </c>
      <c r="J17" s="143">
        <f t="shared" si="1"/>
        <v>13753.732743793187</v>
      </c>
      <c r="K17" s="143">
        <f t="shared" si="1"/>
        <v>14660.825836209069</v>
      </c>
      <c r="L17" s="143">
        <f t="shared" si="1"/>
        <v>15590.592674447087</v>
      </c>
      <c r="M17" s="143">
        <f t="shared" si="1"/>
        <v>16624.234209023172</v>
      </c>
      <c r="N17" s="143">
        <f t="shared" si="1"/>
        <v>17710.542365701065</v>
      </c>
      <c r="O17" s="143">
        <f t="shared" si="1"/>
        <v>18919.395848466134</v>
      </c>
      <c r="P17" s="143">
        <f t="shared" si="1"/>
        <v>20081.221136187269</v>
      </c>
      <c r="Q17" s="144">
        <f t="shared" si="1"/>
        <v>21388.889067732802</v>
      </c>
    </row>
    <row r="19" spans="2:17" x14ac:dyDescent="0.25">
      <c r="B19" s="139" t="s">
        <v>166</v>
      </c>
    </row>
    <row r="21" spans="2:17" x14ac:dyDescent="0.25">
      <c r="B21" s="22" t="s">
        <v>167</v>
      </c>
      <c r="C21" s="129">
        <f>+FC!C23</f>
        <v>-1367</v>
      </c>
      <c r="D21" s="129">
        <f>+FC!D23</f>
        <v>-1484</v>
      </c>
      <c r="E21" s="129">
        <f>+FC!E23</f>
        <v>-1852</v>
      </c>
      <c r="F21" s="129">
        <f>+FC!F23</f>
        <v>-2064</v>
      </c>
      <c r="G21" s="129">
        <f>+FC!G23</f>
        <v>-2112</v>
      </c>
      <c r="H21" s="130">
        <f>+-Drivers!H108*IS!H5</f>
        <v>-2103.0741073064946</v>
      </c>
      <c r="I21" s="130">
        <f>+-Drivers!I108*IS!I5</f>
        <v>-2133.5794096774093</v>
      </c>
      <c r="J21" s="130">
        <f>+-Drivers!J108*IS!J5</f>
        <v>-2241.7428761959213</v>
      </c>
      <c r="K21" s="130">
        <f>+-Drivers!K108*IS!K5</f>
        <v>-2355.3241915474982</v>
      </c>
      <c r="L21" s="130">
        <f>+-Drivers!L108*IS!L5</f>
        <v>-2463.8462081106918</v>
      </c>
      <c r="M21" s="130">
        <f>+-Drivers!M108*IS!M5</f>
        <v>-2580.3479495072011</v>
      </c>
      <c r="N21" s="130">
        <f>+-Drivers!N108*IS!N5</f>
        <v>-2702.5336929651512</v>
      </c>
      <c r="O21" s="130">
        <f>+-Drivers!O108*IS!O5</f>
        <v>-2836.440009251769</v>
      </c>
      <c r="P21" s="130">
        <f>+-Drivers!P108*IS!P5</f>
        <v>-2966.8279167202368</v>
      </c>
      <c r="Q21" s="130">
        <f>+-Drivers!Q108*IS!Q5</f>
        <v>-3107.9602256352309</v>
      </c>
    </row>
    <row r="22" spans="2:17" x14ac:dyDescent="0.25">
      <c r="B22" s="22" t="s">
        <v>168</v>
      </c>
      <c r="C22" s="129">
        <f>+FC!C29</f>
        <v>-2586</v>
      </c>
      <c r="D22" s="129">
        <f>+FC!D29</f>
        <v>385</v>
      </c>
      <c r="E22" s="129">
        <f>+FC!E29</f>
        <v>368</v>
      </c>
      <c r="F22" s="129">
        <f>+FC!F29</f>
        <v>3170</v>
      </c>
      <c r="G22" s="129">
        <f>+FC!G29</f>
        <v>3106</v>
      </c>
      <c r="H22" s="130">
        <f>+Drivers!H59</f>
        <v>0</v>
      </c>
      <c r="I22" s="130">
        <f>+Drivers!I59</f>
        <v>0</v>
      </c>
      <c r="J22" s="130">
        <f>+Drivers!J59</f>
        <v>0</v>
      </c>
      <c r="K22" s="130">
        <f>+Drivers!K59</f>
        <v>0</v>
      </c>
      <c r="L22" s="130">
        <f>+Drivers!L59</f>
        <v>0</v>
      </c>
      <c r="M22" s="130">
        <f>+Drivers!M59</f>
        <v>0</v>
      </c>
      <c r="N22" s="130">
        <f>+Drivers!N59</f>
        <v>0</v>
      </c>
      <c r="O22" s="130">
        <f>+Drivers!O59</f>
        <v>0</v>
      </c>
      <c r="P22" s="130">
        <f>+Drivers!P59</f>
        <v>0</v>
      </c>
      <c r="Q22" s="130">
        <f>+Drivers!Q59</f>
        <v>0</v>
      </c>
    </row>
    <row r="23" spans="2:17" x14ac:dyDescent="0.25">
      <c r="B23" s="22" t="s">
        <v>169</v>
      </c>
      <c r="C23" s="129">
        <f>+FC!C33</f>
        <v>1080</v>
      </c>
      <c r="D23" s="129">
        <f>+FC!D33</f>
        <v>261</v>
      </c>
      <c r="E23" s="129">
        <f>+FC!E33</f>
        <v>-1939</v>
      </c>
      <c r="F23" s="129">
        <f>+FC!F33</f>
        <v>1378</v>
      </c>
      <c r="G23" s="129">
        <f>+FC!G33</f>
        <v>-1074</v>
      </c>
      <c r="H23" s="130">
        <f>0</f>
        <v>0</v>
      </c>
      <c r="I23" s="130">
        <f>0</f>
        <v>0</v>
      </c>
      <c r="J23" s="130">
        <f>0</f>
        <v>0</v>
      </c>
      <c r="K23" s="130">
        <f>0</f>
        <v>0</v>
      </c>
      <c r="L23" s="130">
        <f>0</f>
        <v>0</v>
      </c>
      <c r="M23" s="130">
        <f>0</f>
        <v>0</v>
      </c>
      <c r="N23" s="130">
        <f>0</f>
        <v>0</v>
      </c>
      <c r="O23" s="130">
        <f>0</f>
        <v>0</v>
      </c>
      <c r="P23" s="130">
        <f>0</f>
        <v>0</v>
      </c>
      <c r="Q23" s="130">
        <f>0</f>
        <v>0</v>
      </c>
    </row>
    <row r="24" spans="2:17" x14ac:dyDescent="0.25">
      <c r="B24" s="145" t="s">
        <v>170</v>
      </c>
      <c r="C24" s="142">
        <f>+FC!C35</f>
        <v>-2765</v>
      </c>
      <c r="D24" s="142">
        <f>+FC!D35</f>
        <v>-763</v>
      </c>
      <c r="E24" s="142">
        <f>+FC!E35</f>
        <v>-3349</v>
      </c>
      <c r="F24" s="142">
        <f>+FC!F35</f>
        <v>2524</v>
      </c>
      <c r="G24" s="142">
        <f>+FC!G35</f>
        <v>-67</v>
      </c>
      <c r="H24" s="143">
        <f t="shared" ref="H24:Q24" si="2">+SUM(H21:H23)</f>
        <v>-2103.0741073064946</v>
      </c>
      <c r="I24" s="143">
        <f t="shared" si="2"/>
        <v>-2133.5794096774093</v>
      </c>
      <c r="J24" s="143">
        <f t="shared" si="2"/>
        <v>-2241.7428761959213</v>
      </c>
      <c r="K24" s="143">
        <f t="shared" si="2"/>
        <v>-2355.3241915474982</v>
      </c>
      <c r="L24" s="143">
        <f t="shared" si="2"/>
        <v>-2463.8462081106918</v>
      </c>
      <c r="M24" s="143">
        <f t="shared" si="2"/>
        <v>-2580.3479495072011</v>
      </c>
      <c r="N24" s="143">
        <f t="shared" si="2"/>
        <v>-2702.5336929651512</v>
      </c>
      <c r="O24" s="143">
        <f t="shared" si="2"/>
        <v>-2836.440009251769</v>
      </c>
      <c r="P24" s="143">
        <f t="shared" si="2"/>
        <v>-2966.8279167202368</v>
      </c>
      <c r="Q24" s="144">
        <f t="shared" si="2"/>
        <v>-3107.9602256352309</v>
      </c>
    </row>
    <row r="25" spans="2:17" x14ac:dyDescent="0.25">
      <c r="C25" s="86"/>
      <c r="D25" s="86"/>
      <c r="E25" s="86"/>
      <c r="F25" s="86"/>
      <c r="G25" s="86"/>
      <c r="H25" s="86"/>
      <c r="I25" s="86"/>
      <c r="J25" s="86"/>
      <c r="K25" s="86"/>
      <c r="L25" s="86"/>
      <c r="M25" s="86"/>
      <c r="N25" s="86"/>
      <c r="O25" s="86"/>
      <c r="P25" s="86"/>
      <c r="Q25" s="86"/>
    </row>
    <row r="26" spans="2:17" x14ac:dyDescent="0.25">
      <c r="B26" s="139" t="s">
        <v>171</v>
      </c>
      <c r="C26" s="86"/>
      <c r="D26" s="86"/>
      <c r="E26" s="86"/>
      <c r="F26" s="86"/>
      <c r="G26" s="86"/>
      <c r="H26" s="86"/>
      <c r="I26" s="86"/>
      <c r="J26" s="86"/>
      <c r="K26" s="86"/>
      <c r="L26" s="86"/>
      <c r="M26" s="86"/>
      <c r="N26" s="86"/>
      <c r="O26" s="86"/>
      <c r="P26" s="86"/>
      <c r="Q26" s="86"/>
    </row>
    <row r="27" spans="2:17" x14ac:dyDescent="0.25">
      <c r="C27" s="86"/>
      <c r="D27" s="86"/>
      <c r="E27" s="86"/>
      <c r="F27" s="86"/>
      <c r="G27" s="86"/>
      <c r="H27" s="86"/>
      <c r="I27" s="86"/>
      <c r="J27" s="86"/>
      <c r="K27" s="86"/>
      <c r="L27" s="86"/>
      <c r="M27" s="86"/>
      <c r="N27" s="86"/>
      <c r="O27" s="86"/>
      <c r="P27" s="86"/>
      <c r="Q27" s="86"/>
    </row>
    <row r="28" spans="2:17" x14ac:dyDescent="0.25">
      <c r="B28" s="22" t="s">
        <v>172</v>
      </c>
      <c r="C28" s="129">
        <f>+FC!C38</f>
        <v>-7252</v>
      </c>
      <c r="D28" s="129">
        <f>+FC!D38</f>
        <v>-7616</v>
      </c>
      <c r="E28" s="129">
        <f>+FC!E38</f>
        <v>-7952</v>
      </c>
      <c r="F28" s="129">
        <f>+FC!F38</f>
        <v>-8359</v>
      </c>
      <c r="G28" s="129">
        <f>+FC!G38</f>
        <v>-8779</v>
      </c>
      <c r="H28" s="130">
        <f>+-Drivers!H120*IS!H51</f>
        <v>-7708.8867405593855</v>
      </c>
      <c r="I28" s="130">
        <f>+-Drivers!I120*IS!I51</f>
        <v>-8001.3783806242891</v>
      </c>
      <c r="J28" s="130">
        <f>+-Drivers!J120*IS!J51</f>
        <v>-8525.0346038415228</v>
      </c>
      <c r="K28" s="130">
        <f>+-Drivers!K120*IS!K51</f>
        <v>-8980.0539727136711</v>
      </c>
      <c r="L28" s="130">
        <f>+-Drivers!L120*IS!L51</f>
        <v>-9580.354951653273</v>
      </c>
      <c r="M28" s="130">
        <f>+-Drivers!M120*IS!M51</f>
        <v>-10240.412493809314</v>
      </c>
      <c r="N28" s="130">
        <f>+-Drivers!N120*IS!N51</f>
        <v>-10940.87537703329</v>
      </c>
      <c r="O28" s="130">
        <f>+-Drivers!O120*IS!O51</f>
        <v>-11709.233871125651</v>
      </c>
      <c r="P28" s="130">
        <f>+-Drivers!P120*IS!P51</f>
        <v>-12480.472553161368</v>
      </c>
      <c r="Q28" s="130">
        <f>+-Drivers!Q120*IS!Q51</f>
        <v>-13318.179807377015</v>
      </c>
    </row>
    <row r="29" spans="2:17" x14ac:dyDescent="0.25">
      <c r="B29" s="22" t="s">
        <v>173</v>
      </c>
      <c r="C29" s="129">
        <f>+FC!C39</f>
        <v>228</v>
      </c>
      <c r="D29" s="129">
        <f>+FC!D39</f>
        <v>-958</v>
      </c>
      <c r="E29" s="129">
        <f>+FC!E39</f>
        <v>1857</v>
      </c>
      <c r="F29" s="129">
        <f>+FC!F39</f>
        <v>2528</v>
      </c>
      <c r="G29" s="129">
        <f>+FC!G39</f>
        <v>13</v>
      </c>
      <c r="H29" s="130">
        <f>+(BS!H31-BS!G31)+(BS!H30-BS!G30)+(BS!H27-BS!G27)</f>
        <v>-2143</v>
      </c>
      <c r="I29" s="130">
        <f>+(BS!I31-BS!H31)+(BS!I30-BS!H30)+(BS!I27-BS!H27)</f>
        <v>0</v>
      </c>
      <c r="J29" s="130">
        <f>+(BS!J31-BS!I31)+(BS!J30-BS!I30)+(BS!J27-BS!I27)</f>
        <v>0</v>
      </c>
      <c r="K29" s="130">
        <f>+(BS!K31-BS!J31)+(BS!K30-BS!J30)+(BS!K27-BS!J27)</f>
        <v>0</v>
      </c>
      <c r="L29" s="130">
        <f>+(BS!L31-BS!K31)+(BS!L30-BS!K30)+(BS!L27-BS!K27)</f>
        <v>0</v>
      </c>
      <c r="M29" s="130">
        <f>+(BS!M31-BS!L31)+(BS!M30-BS!L30)+(BS!M27-BS!L27)</f>
        <v>0</v>
      </c>
      <c r="N29" s="130">
        <f>+(BS!N31-BS!M31)+(BS!N30-BS!M30)+(BS!N27-BS!M27)</f>
        <v>0</v>
      </c>
      <c r="O29" s="130">
        <f>+(BS!O31-BS!N31)+(BS!O30-BS!N30)+(BS!O27-BS!N27)</f>
        <v>0</v>
      </c>
      <c r="P29" s="130">
        <f>+(BS!P31-BS!O31)+(BS!P30-BS!O30)+(BS!P27-BS!O27)</f>
        <v>0</v>
      </c>
      <c r="Q29" s="130">
        <f>+(BS!Q31-BS!P31)+(BS!Q30-BS!P30)+(BS!Q27-BS!P27)</f>
        <v>0</v>
      </c>
    </row>
    <row r="30" spans="2:17" x14ac:dyDescent="0.25">
      <c r="B30" s="22" t="s">
        <v>174</v>
      </c>
      <c r="C30" s="86"/>
      <c r="D30" s="86"/>
      <c r="E30" s="86"/>
      <c r="F30" s="86"/>
      <c r="G30" s="86"/>
      <c r="H30" s="129">
        <f>+(BS!H32-BS!G32)</f>
        <v>38.450681517376097</v>
      </c>
      <c r="I30" s="129">
        <f>+(BS!I32-BS!H32)</f>
        <v>25.535514969346423</v>
      </c>
      <c r="J30" s="129">
        <f>+(BS!J32-BS!I32)</f>
        <v>90.541958405674677</v>
      </c>
      <c r="K30" s="129">
        <f>+(BS!K32-BS!J32)</f>
        <v>95.0771555427566</v>
      </c>
      <c r="L30" s="129">
        <f>+(BS!L32-BS!K32)</f>
        <v>90.842095080994341</v>
      </c>
      <c r="M30" s="129">
        <f>+(BS!M32-BS!L32)</f>
        <v>97.521798840517931</v>
      </c>
      <c r="N30" s="129">
        <f>+(BS!N32-BS!M32)</f>
        <v>102.27978871260348</v>
      </c>
      <c r="O30" s="129">
        <f>+(BS!O32-BS!N32)</f>
        <v>112.09089824617513</v>
      </c>
      <c r="P30" s="129">
        <f>+(BS!P32-BS!O32)</f>
        <v>109.14569285362631</v>
      </c>
      <c r="Q30" s="129">
        <f>+(BS!Q32-BS!P32)</f>
        <v>118.13966447988469</v>
      </c>
    </row>
    <row r="31" spans="2:17" x14ac:dyDescent="0.25">
      <c r="B31" s="22" t="s">
        <v>175</v>
      </c>
      <c r="C31" s="129">
        <f>+FC!C40</f>
        <v>591</v>
      </c>
      <c r="D31" s="129">
        <f>+FC!D40</f>
        <v>-581</v>
      </c>
      <c r="E31" s="129">
        <f>+FC!E40</f>
        <v>-1750</v>
      </c>
      <c r="F31" s="129">
        <f>+FC!F40</f>
        <v>-1048</v>
      </c>
      <c r="G31" s="129">
        <f>+FC!G40</f>
        <v>-433</v>
      </c>
      <c r="H31" s="130">
        <f>-MAX(0,(H35+H17+H24+H28+H29+H30)-Drivers!$H$141)</f>
        <v>0</v>
      </c>
      <c r="I31" s="130">
        <f>-MAX(0,(I35+I17+I24+I28+I29+I30)-Drivers!$H$141)</f>
        <v>-2370.8756867087395</v>
      </c>
      <c r="J31" s="130">
        <f>-MAX(0,(J35+J17+J24+J28+J29+J30)-Drivers!$H$141)</f>
        <v>-3077.4972221614207</v>
      </c>
      <c r="K31" s="130">
        <f>-MAX(0,(K35+K17+K24+K28+K29+K30)-Drivers!$H$141)</f>
        <v>-3420.5248274906589</v>
      </c>
      <c r="L31" s="130">
        <f>-MAX(0,(L35+L17+L24+L28+L29+L30)-Drivers!$H$141)</f>
        <v>-3637.2336097641146</v>
      </c>
      <c r="M31" s="130">
        <f>-MAX(0,(M35+M17+M24+M28+M29+M30)-Drivers!$H$141)</f>
        <v>-3900.9955645471746</v>
      </c>
      <c r="N31" s="130">
        <f>-MAX(0,(N35+N17+N24+N28+N29+N30)-Drivers!$H$141)</f>
        <v>-4169.4130844152296</v>
      </c>
      <c r="O31" s="130">
        <f>-MAX(0,(O35+O17+O24+O28+O29+O30)-Drivers!$H$141)</f>
        <v>-4485.8128663348907</v>
      </c>
      <c r="P31" s="130">
        <f>-MAX(0,(P35+P17+P24+P28+P29+P30)-Drivers!$H$141)</f>
        <v>-4743.0663591592893</v>
      </c>
      <c r="Q31" s="130">
        <f>-MAX(0,(Q35+Q17+Q24+Q28+Q29+Q30)-Drivers!$H$141)</f>
        <v>-5080.8886992004409</v>
      </c>
    </row>
    <row r="32" spans="2:17" x14ac:dyDescent="0.25">
      <c r="B32" s="53" t="s">
        <v>176</v>
      </c>
      <c r="C32" s="142">
        <f>+FC!C45</f>
        <v>-6786</v>
      </c>
      <c r="D32" s="142">
        <f>+FC!D45</f>
        <v>-10250</v>
      </c>
      <c r="E32" s="142">
        <f>+FC!E45</f>
        <v>-8310</v>
      </c>
      <c r="F32" s="142">
        <f>+FC!F45</f>
        <v>-6910</v>
      </c>
      <c r="G32" s="142">
        <f>+FC!G45</f>
        <v>-8140</v>
      </c>
      <c r="H32" s="143">
        <f t="shared" ref="H32:Q32" si="3">+SUM(H28:H31)</f>
        <v>-9813.4360590420092</v>
      </c>
      <c r="I32" s="143">
        <f t="shared" si="3"/>
        <v>-10346.718552363682</v>
      </c>
      <c r="J32" s="143">
        <f t="shared" si="3"/>
        <v>-11511.989867597269</v>
      </c>
      <c r="K32" s="143">
        <f t="shared" si="3"/>
        <v>-12305.501644661574</v>
      </c>
      <c r="L32" s="143">
        <f t="shared" si="3"/>
        <v>-13126.746466336393</v>
      </c>
      <c r="M32" s="143">
        <f t="shared" si="3"/>
        <v>-14043.88625951597</v>
      </c>
      <c r="N32" s="143">
        <f t="shared" si="3"/>
        <v>-15008.008672735916</v>
      </c>
      <c r="O32" s="143">
        <f t="shared" si="3"/>
        <v>-16082.955839214366</v>
      </c>
      <c r="P32" s="143">
        <f t="shared" si="3"/>
        <v>-17114.393219467031</v>
      </c>
      <c r="Q32" s="144">
        <f t="shared" si="3"/>
        <v>-18280.928842097572</v>
      </c>
    </row>
    <row r="33" spans="2:17" x14ac:dyDescent="0.25">
      <c r="C33" s="86"/>
      <c r="D33" s="86"/>
      <c r="E33" s="86"/>
      <c r="F33" s="86"/>
      <c r="G33" s="86"/>
      <c r="H33" s="86"/>
      <c r="I33" s="86"/>
      <c r="J33" s="86"/>
      <c r="K33" s="86"/>
      <c r="L33" s="86"/>
      <c r="M33" s="86"/>
      <c r="N33" s="86"/>
      <c r="O33" s="86"/>
      <c r="P33" s="86"/>
      <c r="Q33" s="86"/>
    </row>
    <row r="34" spans="2:17" x14ac:dyDescent="0.25">
      <c r="B34" s="22" t="s">
        <v>177</v>
      </c>
      <c r="C34" s="141">
        <f>+C17+C24+C32+FC!C47</f>
        <v>2915</v>
      </c>
      <c r="D34" s="141">
        <f>+D17+D24+D32+FC!D47</f>
        <v>-200</v>
      </c>
      <c r="E34" s="141">
        <f>+E17+E24+E32+FC!E47</f>
        <v>-133</v>
      </c>
      <c r="F34" s="141">
        <f>+F17+F24+F32+FC!F47</f>
        <v>1796</v>
      </c>
      <c r="G34" s="141">
        <f>+G17+G24+G32+FC!G47</f>
        <v>-478</v>
      </c>
      <c r="H34" s="141">
        <f t="shared" ref="H34:Q34" si="4">+H17+H24+H32</f>
        <v>-497.3901516667047</v>
      </c>
      <c r="I34" s="141">
        <f t="shared" si="4"/>
        <v>227.3901516667047</v>
      </c>
      <c r="J34" s="141">
        <f t="shared" si="4"/>
        <v>0</v>
      </c>
      <c r="K34" s="141">
        <f t="shared" si="4"/>
        <v>0</v>
      </c>
      <c r="L34" s="141">
        <f t="shared" si="4"/>
        <v>0</v>
      </c>
      <c r="M34" s="141">
        <f t="shared" si="4"/>
        <v>0</v>
      </c>
      <c r="N34" s="141">
        <f t="shared" si="4"/>
        <v>0</v>
      </c>
      <c r="O34" s="141">
        <f t="shared" si="4"/>
        <v>0</v>
      </c>
      <c r="P34" s="141">
        <f t="shared" si="4"/>
        <v>0</v>
      </c>
      <c r="Q34" s="141">
        <f t="shared" si="4"/>
        <v>0</v>
      </c>
    </row>
    <row r="35" spans="2:17" x14ac:dyDescent="0.25">
      <c r="B35" s="108" t="s">
        <v>178</v>
      </c>
      <c r="C35" s="130">
        <f>+'Balance Sheet'!C8-C34</f>
        <v>6769</v>
      </c>
      <c r="D35" s="130">
        <f>+C36</f>
        <v>9684</v>
      </c>
      <c r="E35" s="130">
        <f>+D36</f>
        <v>9484</v>
      </c>
      <c r="F35" s="130">
        <f>+E36</f>
        <v>9351</v>
      </c>
      <c r="G35" s="130">
        <f>+F36</f>
        <v>11147</v>
      </c>
      <c r="H35" s="129">
        <f>+'Balance Sheet'!G8</f>
        <v>10270</v>
      </c>
      <c r="I35" s="86">
        <f t="shared" ref="I35:Q35" si="5">+H36</f>
        <v>9772.6098483332953</v>
      </c>
      <c r="J35" s="86">
        <f t="shared" si="5"/>
        <v>10000</v>
      </c>
      <c r="K35" s="86">
        <f t="shared" si="5"/>
        <v>10000</v>
      </c>
      <c r="L35" s="86">
        <f t="shared" si="5"/>
        <v>10000</v>
      </c>
      <c r="M35" s="86">
        <f t="shared" si="5"/>
        <v>10000</v>
      </c>
      <c r="N35" s="86">
        <f t="shared" si="5"/>
        <v>10000</v>
      </c>
      <c r="O35" s="86">
        <f t="shared" si="5"/>
        <v>10000</v>
      </c>
      <c r="P35" s="86">
        <f t="shared" si="5"/>
        <v>10000</v>
      </c>
      <c r="Q35" s="86">
        <f t="shared" si="5"/>
        <v>10000</v>
      </c>
    </row>
    <row r="36" spans="2:17" x14ac:dyDescent="0.25">
      <c r="B36" s="146" t="s">
        <v>179</v>
      </c>
      <c r="C36" s="141">
        <f t="shared" ref="C36:Q36" si="6">+C35+C34</f>
        <v>9684</v>
      </c>
      <c r="D36" s="86">
        <f t="shared" si="6"/>
        <v>9484</v>
      </c>
      <c r="E36" s="86">
        <f t="shared" si="6"/>
        <v>9351</v>
      </c>
      <c r="F36" s="86">
        <f t="shared" si="6"/>
        <v>11147</v>
      </c>
      <c r="G36" s="86">
        <f t="shared" si="6"/>
        <v>10669</v>
      </c>
      <c r="H36" s="141">
        <f t="shared" si="6"/>
        <v>9772.6098483332953</v>
      </c>
      <c r="I36" s="141">
        <f t="shared" si="6"/>
        <v>10000</v>
      </c>
      <c r="J36" s="141">
        <f t="shared" si="6"/>
        <v>10000</v>
      </c>
      <c r="K36" s="141">
        <f t="shared" si="6"/>
        <v>10000</v>
      </c>
      <c r="L36" s="141">
        <f t="shared" si="6"/>
        <v>10000</v>
      </c>
      <c r="M36" s="141">
        <f t="shared" si="6"/>
        <v>10000</v>
      </c>
      <c r="N36" s="141">
        <f t="shared" si="6"/>
        <v>10000</v>
      </c>
      <c r="O36" s="141">
        <f t="shared" si="6"/>
        <v>10000</v>
      </c>
      <c r="P36" s="141">
        <f t="shared" si="6"/>
        <v>10000</v>
      </c>
      <c r="Q36" s="141">
        <f t="shared" si="6"/>
        <v>10000</v>
      </c>
    </row>
    <row r="37" spans="2:17" x14ac:dyDescent="0.25">
      <c r="C37" s="86"/>
      <c r="D37" s="86"/>
      <c r="E37" s="86"/>
      <c r="F37" s="86"/>
      <c r="G37" s="86"/>
      <c r="H37" s="86"/>
      <c r="I37" s="86"/>
      <c r="J37" s="86"/>
      <c r="K37" s="86"/>
      <c r="L37" s="86"/>
      <c r="M37" s="86"/>
      <c r="N37" s="86"/>
      <c r="O37" s="86"/>
      <c r="P37" s="86"/>
      <c r="Q37" s="86"/>
    </row>
    <row r="38" spans="2:17" x14ac:dyDescent="0.25">
      <c r="B38" s="145" t="s">
        <v>180</v>
      </c>
      <c r="C38" s="143">
        <f t="shared" ref="C38:Q38" si="7">+C17+C24</f>
        <v>9860</v>
      </c>
      <c r="D38" s="143">
        <f t="shared" si="7"/>
        <v>10255</v>
      </c>
      <c r="E38" s="143">
        <f t="shared" si="7"/>
        <v>8250</v>
      </c>
      <c r="F38" s="143">
        <f t="shared" si="7"/>
        <v>9329</v>
      </c>
      <c r="G38" s="143">
        <f t="shared" si="7"/>
        <v>7341</v>
      </c>
      <c r="H38" s="143">
        <f t="shared" si="7"/>
        <v>9316.0459073753045</v>
      </c>
      <c r="I38" s="143">
        <f t="shared" si="7"/>
        <v>10574.108704030386</v>
      </c>
      <c r="J38" s="143">
        <f t="shared" si="7"/>
        <v>11511.989867597265</v>
      </c>
      <c r="K38" s="143">
        <f t="shared" si="7"/>
        <v>12305.50164466157</v>
      </c>
      <c r="L38" s="143">
        <f t="shared" si="7"/>
        <v>13126.746466336395</v>
      </c>
      <c r="M38" s="143">
        <f t="shared" si="7"/>
        <v>14043.886259515972</v>
      </c>
      <c r="N38" s="143">
        <f t="shared" si="7"/>
        <v>15008.008672735914</v>
      </c>
      <c r="O38" s="143">
        <f t="shared" si="7"/>
        <v>16082.955839214366</v>
      </c>
      <c r="P38" s="143">
        <f t="shared" si="7"/>
        <v>17114.393219467031</v>
      </c>
      <c r="Q38" s="144">
        <f t="shared" si="7"/>
        <v>18280.928842097572</v>
      </c>
    </row>
    <row r="39" spans="2:17" x14ac:dyDescent="0.25">
      <c r="B39" s="147" t="s">
        <v>181</v>
      </c>
      <c r="C39" s="148">
        <f>+C38/IS!C5</f>
        <v>0.25505716798592787</v>
      </c>
      <c r="D39" s="148">
        <f>+D38/IS!D5</f>
        <v>0.23823351763230033</v>
      </c>
      <c r="E39" s="148">
        <f>+E38/IS!E5</f>
        <v>0.18019395421981479</v>
      </c>
      <c r="F39" s="148">
        <f>+F38/IS!F5</f>
        <v>0.19892530439047273</v>
      </c>
      <c r="G39" s="148">
        <f>+G38/IS!G5</f>
        <v>0.15274021056135825</v>
      </c>
      <c r="H39" s="148">
        <f>+H38/IS!H5</f>
        <v>0.18960031958451815</v>
      </c>
      <c r="I39" s="148">
        <f>+I38/IS!I5</f>
        <v>0.21212750345512707</v>
      </c>
      <c r="J39" s="148">
        <f>+J38/IS!J5</f>
        <v>0.21979946037674003</v>
      </c>
      <c r="K39" s="148">
        <f>+K38/IS!K5</f>
        <v>0.22362000434406545</v>
      </c>
      <c r="L39" s="148">
        <f>+L38/IS!L5</f>
        <v>0.22803710708352529</v>
      </c>
      <c r="M39" s="148">
        <f>+M38/IS!M5</f>
        <v>0.23295447214448337</v>
      </c>
      <c r="N39" s="148">
        <f>+N38/IS!N5</f>
        <v>0.23769167791713705</v>
      </c>
      <c r="O39" s="148">
        <f>+O38/IS!O5</f>
        <v>0.24269134486887964</v>
      </c>
      <c r="P39" s="148">
        <f>+P38/IS!P5</f>
        <v>0.24690573107266131</v>
      </c>
      <c r="Q39" s="148">
        <f>+Q38/IS!Q5</f>
        <v>0.25175889715162758</v>
      </c>
    </row>
  </sheetData>
  <mergeCells count="1">
    <mergeCell ref="B3:Q3"/>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48"/>
  <sheetViews>
    <sheetView showGridLines="0" zoomScale="80" zoomScaleNormal="80" workbookViewId="0">
      <selection activeCell="C1" sqref="C1:Q1"/>
    </sheetView>
  </sheetViews>
  <sheetFormatPr defaultColWidth="8.7109375" defaultRowHeight="15" x14ac:dyDescent="0.25"/>
  <cols>
    <col min="2" max="2" width="35.7109375" customWidth="1"/>
    <col min="3" max="17" width="14.28515625" customWidth="1"/>
  </cols>
  <sheetData>
    <row r="1" spans="2:17" x14ac:dyDescent="0.25">
      <c r="C1" s="12">
        <v>2021</v>
      </c>
      <c r="D1" s="13">
        <v>2022</v>
      </c>
      <c r="E1" s="13">
        <v>2023</v>
      </c>
      <c r="F1" s="13">
        <v>2024</v>
      </c>
      <c r="G1" s="14">
        <v>2025</v>
      </c>
      <c r="H1" s="15">
        <v>2026</v>
      </c>
      <c r="I1" s="15">
        <v>2027</v>
      </c>
      <c r="J1" s="15">
        <v>2028</v>
      </c>
      <c r="K1" s="15">
        <v>2029</v>
      </c>
      <c r="L1" s="16">
        <v>2030</v>
      </c>
      <c r="M1" s="16">
        <v>2031</v>
      </c>
      <c r="N1" s="16">
        <v>2032</v>
      </c>
      <c r="O1" s="16">
        <v>2033</v>
      </c>
      <c r="P1" s="16">
        <v>2034</v>
      </c>
      <c r="Q1" s="16">
        <v>2035</v>
      </c>
    </row>
    <row r="3" spans="2:17" x14ac:dyDescent="0.25">
      <c r="B3" s="302" t="s">
        <v>182</v>
      </c>
      <c r="C3" s="302"/>
      <c r="D3" s="302"/>
      <c r="E3" s="302"/>
      <c r="F3" s="302"/>
      <c r="G3" s="302"/>
      <c r="H3" s="302"/>
      <c r="I3" s="302"/>
      <c r="J3" s="302"/>
      <c r="K3" s="302"/>
      <c r="L3" s="302"/>
      <c r="M3" s="302"/>
      <c r="N3" s="302"/>
      <c r="O3" s="302"/>
      <c r="P3" s="302"/>
      <c r="Q3" s="302"/>
    </row>
    <row r="5" spans="2:17" x14ac:dyDescent="0.25">
      <c r="B5" s="139" t="s">
        <v>183</v>
      </c>
    </row>
    <row r="7" spans="2:17" x14ac:dyDescent="0.25">
      <c r="B7" s="22" t="s">
        <v>184</v>
      </c>
      <c r="C7" s="129">
        <f>+'Balance Sheet'!C8</f>
        <v>9684</v>
      </c>
      <c r="D7" s="129">
        <f>+'Balance Sheet'!D8</f>
        <v>9519</v>
      </c>
      <c r="E7" s="129">
        <f>+'Balance Sheet'!E8</f>
        <v>9366</v>
      </c>
      <c r="F7" s="129">
        <f>+'Balance Sheet'!F8</f>
        <v>10828</v>
      </c>
      <c r="G7" s="129">
        <f>+'Balance Sheet'!G8</f>
        <v>10270</v>
      </c>
      <c r="H7" s="130">
        <f>+CF!H36</f>
        <v>9772.6098483332953</v>
      </c>
      <c r="I7" s="130">
        <f>+CF!I36</f>
        <v>10000</v>
      </c>
      <c r="J7" s="130">
        <f>+CF!J36</f>
        <v>10000</v>
      </c>
      <c r="K7" s="130">
        <f>+CF!K36</f>
        <v>10000</v>
      </c>
      <c r="L7" s="130">
        <f>+CF!L36</f>
        <v>10000</v>
      </c>
      <c r="M7" s="130">
        <f>+CF!M36</f>
        <v>10000</v>
      </c>
      <c r="N7" s="130">
        <f>+CF!N36</f>
        <v>10000</v>
      </c>
      <c r="O7" s="130">
        <f>+CF!O36</f>
        <v>10000</v>
      </c>
      <c r="P7" s="130">
        <f>+CF!P36</f>
        <v>10000</v>
      </c>
      <c r="Q7" s="130">
        <f>+CF!Q36</f>
        <v>10000</v>
      </c>
    </row>
    <row r="8" spans="2:17" x14ac:dyDescent="0.25">
      <c r="B8" s="22" t="s">
        <v>185</v>
      </c>
      <c r="C8" s="129">
        <f>+'Balance Sheet'!C9</f>
        <v>2941</v>
      </c>
      <c r="D8" s="129">
        <f>+'Balance Sheet'!D9</f>
        <v>2112</v>
      </c>
      <c r="E8" s="129">
        <f>+'Balance Sheet'!E9</f>
        <v>4297</v>
      </c>
      <c r="F8" s="129">
        <f>+'Balance Sheet'!F9</f>
        <v>3743</v>
      </c>
      <c r="G8" s="129">
        <f>+'Balance Sheet'!G9</f>
        <v>5536</v>
      </c>
      <c r="H8" s="130">
        <f t="shared" ref="H8:Q8" si="0">+G8</f>
        <v>5536</v>
      </c>
      <c r="I8" s="130">
        <f t="shared" si="0"/>
        <v>5536</v>
      </c>
      <c r="J8" s="130">
        <f t="shared" si="0"/>
        <v>5536</v>
      </c>
      <c r="K8" s="130">
        <f t="shared" si="0"/>
        <v>5536</v>
      </c>
      <c r="L8" s="130">
        <f t="shared" si="0"/>
        <v>5536</v>
      </c>
      <c r="M8" s="130">
        <f t="shared" si="0"/>
        <v>5536</v>
      </c>
      <c r="N8" s="130">
        <f t="shared" si="0"/>
        <v>5536</v>
      </c>
      <c r="O8" s="130">
        <f t="shared" si="0"/>
        <v>5536</v>
      </c>
      <c r="P8" s="130">
        <f t="shared" si="0"/>
        <v>5536</v>
      </c>
      <c r="Q8" s="130">
        <f t="shared" si="0"/>
        <v>5536</v>
      </c>
    </row>
    <row r="9" spans="2:17" x14ac:dyDescent="0.25">
      <c r="B9" s="22" t="s">
        <v>186</v>
      </c>
      <c r="C9" s="129">
        <f>+'Balance Sheet'!C10</f>
        <v>3512</v>
      </c>
      <c r="D9" s="129">
        <f>+'Balance Sheet'!D10</f>
        <v>3487</v>
      </c>
      <c r="E9" s="129">
        <f>+'Balance Sheet'!E10</f>
        <v>3410</v>
      </c>
      <c r="F9" s="129">
        <f>+'Balance Sheet'!F10</f>
        <v>3569</v>
      </c>
      <c r="G9" s="129">
        <f>+'Balance Sheet'!G10</f>
        <v>3038</v>
      </c>
      <c r="H9" s="130">
        <f>+Drivers!H78*IS!H5/365</f>
        <v>3789.7714165217653</v>
      </c>
      <c r="I9" s="130">
        <f>+Drivers!I78*IS!I5/365</f>
        <v>3844.7424337465027</v>
      </c>
      <c r="J9" s="130">
        <f>+Drivers!J78*IS!J5/365</f>
        <v>4039.6546397879547</v>
      </c>
      <c r="K9" s="130">
        <f>+Drivers!K78*IS!K5/365</f>
        <v>4244.3298915419909</v>
      </c>
      <c r="L9" s="130">
        <f>+Drivers!L78*IS!L5/365</f>
        <v>4439.8882101983072</v>
      </c>
      <c r="M9" s="130">
        <f>+Drivers!M78*IS!M5/365</f>
        <v>4649.8261139486276</v>
      </c>
      <c r="N9" s="130">
        <f>+Drivers!N78*IS!N5/365</f>
        <v>4870.006675563006</v>
      </c>
      <c r="O9" s="130">
        <f>+Drivers!O78*IS!O5/365</f>
        <v>5111.3078870570189</v>
      </c>
      <c r="P9" s="130">
        <f>+Drivers!P78*IS!P5/365</f>
        <v>5346.2688725341077</v>
      </c>
      <c r="Q9" s="130">
        <f>+Drivers!Q78*IS!Q5/365</f>
        <v>5600.5914322649123</v>
      </c>
    </row>
    <row r="10" spans="2:17" x14ac:dyDescent="0.25">
      <c r="B10" s="22" t="s">
        <v>187</v>
      </c>
      <c r="C10" s="129">
        <f>+'Balance Sheet'!C13</f>
        <v>3414</v>
      </c>
      <c r="D10" s="129">
        <f>+'Balance Sheet'!D13</f>
        <v>4233</v>
      </c>
      <c r="E10" s="129">
        <f>+'Balance Sheet'!E13</f>
        <v>4424</v>
      </c>
      <c r="F10" s="129">
        <f>+'Balance Sheet'!F13</f>
        <v>4728</v>
      </c>
      <c r="G10" s="129">
        <f>+'Balance Sheet'!G13</f>
        <v>4425</v>
      </c>
      <c r="H10" s="130">
        <f>+Drivers!H90*IS!H16/365</f>
        <v>4683.1279967393066</v>
      </c>
      <c r="I10" s="130">
        <f>+Drivers!I90*IS!I16/365</f>
        <v>4751.057241403536</v>
      </c>
      <c r="J10" s="130">
        <f>+Drivers!J90*IS!J16/365</f>
        <v>4991.9157810609768</v>
      </c>
      <c r="K10" s="130">
        <f>+Drivers!K90*IS!K16/365</f>
        <v>5244.8387931324314</v>
      </c>
      <c r="L10" s="130">
        <f>+Drivers!L90*IS!L16/365</f>
        <v>5486.4957524683068</v>
      </c>
      <c r="M10" s="130">
        <f>+Drivers!M90*IS!M16/365</f>
        <v>5745.9219728318103</v>
      </c>
      <c r="N10" s="130">
        <f>+Drivers!N90*IS!N16/365</f>
        <v>6018.0053359441035</v>
      </c>
      <c r="O10" s="130">
        <f>+Drivers!O90*IS!O16/365</f>
        <v>6316.1880849796307</v>
      </c>
      <c r="P10" s="130">
        <f>+Drivers!P90*IS!P16/365</f>
        <v>6606.5360369516575</v>
      </c>
      <c r="Q10" s="130">
        <f>+Drivers!Q90*IS!Q16/365</f>
        <v>6920.8096352181319</v>
      </c>
    </row>
    <row r="11" spans="2:17" x14ac:dyDescent="0.25">
      <c r="B11" s="22" t="s">
        <v>188</v>
      </c>
      <c r="C11" s="129">
        <f>+'Balance Sheet'!C18</f>
        <v>2994</v>
      </c>
      <c r="D11" s="129">
        <f>+'Balance Sheet'!D18</f>
        <v>3240</v>
      </c>
      <c r="E11" s="129">
        <f>+'Balance Sheet'!E18</f>
        <v>5235</v>
      </c>
      <c r="F11" s="129">
        <f>+'Balance Sheet'!F18</f>
        <v>3129</v>
      </c>
      <c r="G11" s="129">
        <f>+'Balance Sheet'!G18</f>
        <v>7775</v>
      </c>
      <c r="H11" s="130">
        <f t="shared" ref="H11:Q11" si="1">+G11</f>
        <v>7775</v>
      </c>
      <c r="I11" s="130">
        <f t="shared" si="1"/>
        <v>7775</v>
      </c>
      <c r="J11" s="130">
        <f t="shared" si="1"/>
        <v>7775</v>
      </c>
      <c r="K11" s="130">
        <f t="shared" si="1"/>
        <v>7775</v>
      </c>
      <c r="L11" s="130">
        <f t="shared" si="1"/>
        <v>7775</v>
      </c>
      <c r="M11" s="130">
        <f t="shared" si="1"/>
        <v>7775</v>
      </c>
      <c r="N11" s="130">
        <f t="shared" si="1"/>
        <v>7775</v>
      </c>
      <c r="O11" s="130">
        <f t="shared" si="1"/>
        <v>7775</v>
      </c>
      <c r="P11" s="130">
        <f t="shared" si="1"/>
        <v>7775</v>
      </c>
      <c r="Q11" s="130">
        <f t="shared" si="1"/>
        <v>7775</v>
      </c>
    </row>
    <row r="12" spans="2:17" x14ac:dyDescent="0.25">
      <c r="B12" s="53" t="s">
        <v>189</v>
      </c>
      <c r="C12" s="143">
        <f t="shared" ref="C12:Q12" si="2">+SUM(C7:C11)</f>
        <v>22545</v>
      </c>
      <c r="D12" s="143">
        <f t="shared" si="2"/>
        <v>22591</v>
      </c>
      <c r="E12" s="143">
        <f t="shared" si="2"/>
        <v>26732</v>
      </c>
      <c r="F12" s="143">
        <f t="shared" si="2"/>
        <v>25997</v>
      </c>
      <c r="G12" s="143">
        <f t="shared" si="2"/>
        <v>31044</v>
      </c>
      <c r="H12" s="149">
        <f t="shared" si="2"/>
        <v>31556.509261594365</v>
      </c>
      <c r="I12" s="149">
        <f t="shared" si="2"/>
        <v>31906.79967515004</v>
      </c>
      <c r="J12" s="149">
        <f t="shared" si="2"/>
        <v>32342.57042084893</v>
      </c>
      <c r="K12" s="149">
        <f t="shared" si="2"/>
        <v>32800.168684674427</v>
      </c>
      <c r="L12" s="149">
        <f t="shared" si="2"/>
        <v>33237.383962666616</v>
      </c>
      <c r="M12" s="149">
        <f t="shared" si="2"/>
        <v>33706.748086780441</v>
      </c>
      <c r="N12" s="149">
        <f t="shared" si="2"/>
        <v>34199.012011507111</v>
      </c>
      <c r="O12" s="149">
        <f t="shared" si="2"/>
        <v>34738.495972036646</v>
      </c>
      <c r="P12" s="149">
        <f t="shared" si="2"/>
        <v>35263.804909485763</v>
      </c>
      <c r="Q12" s="150">
        <f t="shared" si="2"/>
        <v>35832.401067483042</v>
      </c>
    </row>
    <row r="13" spans="2:17" x14ac:dyDescent="0.25">
      <c r="C13" s="86"/>
      <c r="D13" s="86"/>
      <c r="E13" s="86"/>
      <c r="F13" s="86"/>
      <c r="G13" s="86"/>
      <c r="H13" s="130"/>
      <c r="I13" s="130"/>
      <c r="J13" s="130"/>
      <c r="K13" s="130"/>
      <c r="L13" s="130"/>
      <c r="M13" s="130"/>
      <c r="N13" s="130"/>
      <c r="O13" s="130"/>
      <c r="P13" s="130"/>
      <c r="Q13" s="130"/>
    </row>
    <row r="14" spans="2:17" x14ac:dyDescent="0.25">
      <c r="B14" s="22" t="s">
        <v>190</v>
      </c>
      <c r="C14" s="129">
        <f>+'Balance Sheet'!C24</f>
        <v>11338</v>
      </c>
      <c r="D14" s="129">
        <f>+'Balance Sheet'!D24</f>
        <v>11247</v>
      </c>
      <c r="E14" s="129">
        <f>+'Balance Sheet'!E24</f>
        <v>10564</v>
      </c>
      <c r="F14" s="129">
        <f>+'Balance Sheet'!F24</f>
        <v>11485</v>
      </c>
      <c r="G14" s="129">
        <f>+'Balance Sheet'!G24</f>
        <v>11310</v>
      </c>
      <c r="H14" s="130">
        <f>+G14+CF!H21*-1-IS!H24</f>
        <v>12270.872632871216</v>
      </c>
      <c r="I14" s="130">
        <f>+H14+CF!I21*-1-IS!I24</f>
        <v>13157.852355903713</v>
      </c>
      <c r="J14" s="130">
        <f>+I14+CF!J21*-1-IS!J24</f>
        <v>14085.566573153943</v>
      </c>
      <c r="K14" s="130">
        <f>+J14+CF!K21*-1-IS!K24</f>
        <v>14876.33893564824</v>
      </c>
      <c r="L14" s="130">
        <f>+K14+CF!L21*-1-IS!L24</f>
        <v>15684.35826037038</v>
      </c>
      <c r="M14" s="130">
        <f>+L14+CF!M21*-1-IS!M24</f>
        <v>16530.584376613144</v>
      </c>
      <c r="N14" s="130">
        <f>+M14+CF!N21*-1-IS!N24</f>
        <v>17416.881355069047</v>
      </c>
      <c r="O14" s="130">
        <f>+N14+CF!O21*-1-IS!O24</f>
        <v>18347.092962167659</v>
      </c>
      <c r="P14" s="130">
        <f>+O14+CF!P21*-1-IS!P24</f>
        <v>19320.065334365081</v>
      </c>
      <c r="Q14" s="130">
        <f>+P14+CF!Q21*-1-IS!Q24</f>
        <v>20339.322102305454</v>
      </c>
    </row>
    <row r="15" spans="2:17" x14ac:dyDescent="0.25">
      <c r="B15" s="22" t="s">
        <v>191</v>
      </c>
      <c r="C15" s="129">
        <f>+'Balance Sheet'!C30+'Balance Sheet'!C31</f>
        <v>53976</v>
      </c>
      <c r="D15" s="129">
        <f>+'Balance Sheet'!D30+'Balance Sheet'!D31</f>
        <v>52413</v>
      </c>
      <c r="E15" s="129">
        <f>+'Balance Sheet'!E30+'Balance Sheet'!E31</f>
        <v>51581</v>
      </c>
      <c r="F15" s="129">
        <f>+'Balance Sheet'!F30+'Balance Sheet'!F31</f>
        <v>49579</v>
      </c>
      <c r="G15" s="129">
        <f>+'Balance Sheet'!G30+'Balance Sheet'!G31</f>
        <v>43513</v>
      </c>
      <c r="H15" s="130">
        <f>+G15-CF!H22</f>
        <v>43513</v>
      </c>
      <c r="I15" s="130">
        <f>+H15-CF!I22</f>
        <v>43513</v>
      </c>
      <c r="J15" s="130">
        <f>+I15-CF!J22</f>
        <v>43513</v>
      </c>
      <c r="K15" s="130">
        <f>+J15-CF!K22</f>
        <v>43513</v>
      </c>
      <c r="L15" s="130">
        <f>+K15-CF!L22</f>
        <v>43513</v>
      </c>
      <c r="M15" s="130">
        <f>+L15-CF!M22</f>
        <v>43513</v>
      </c>
      <c r="N15" s="130">
        <f>+M15-CF!N22</f>
        <v>43513</v>
      </c>
      <c r="O15" s="130">
        <f>+N15-CF!O22</f>
        <v>43513</v>
      </c>
      <c r="P15" s="130">
        <f>+O15-CF!P22</f>
        <v>43513</v>
      </c>
      <c r="Q15" s="130">
        <f>+P15-CF!Q22</f>
        <v>43513</v>
      </c>
    </row>
    <row r="16" spans="2:17" x14ac:dyDescent="0.25">
      <c r="B16" s="22" t="s">
        <v>192</v>
      </c>
      <c r="C16" s="129">
        <f>+'Balance Sheet'!C39-C12-C14-C15</f>
        <v>6495</v>
      </c>
      <c r="D16" s="129">
        <f>+'Balance Sheet'!D39-D12-D14-D15</f>
        <v>6512</v>
      </c>
      <c r="E16" s="129">
        <f>+'Balance Sheet'!E39-E12-E14-E15</f>
        <v>8826</v>
      </c>
      <c r="F16" s="129">
        <f>+'Balance Sheet'!F39-F12-F14-F15</f>
        <v>13488</v>
      </c>
      <c r="G16" s="129">
        <f>+'Balance Sheet'!G39-G12-G14-G15</f>
        <v>18949</v>
      </c>
      <c r="H16" s="130">
        <f t="shared" ref="H16:Q16" si="3">+G16</f>
        <v>18949</v>
      </c>
      <c r="I16" s="130">
        <f t="shared" si="3"/>
        <v>18949</v>
      </c>
      <c r="J16" s="130">
        <f t="shared" si="3"/>
        <v>18949</v>
      </c>
      <c r="K16" s="130">
        <f t="shared" si="3"/>
        <v>18949</v>
      </c>
      <c r="L16" s="130">
        <f t="shared" si="3"/>
        <v>18949</v>
      </c>
      <c r="M16" s="130">
        <f t="shared" si="3"/>
        <v>18949</v>
      </c>
      <c r="N16" s="130">
        <f t="shared" si="3"/>
        <v>18949</v>
      </c>
      <c r="O16" s="130">
        <f t="shared" si="3"/>
        <v>18949</v>
      </c>
      <c r="P16" s="130">
        <f t="shared" si="3"/>
        <v>18949</v>
      </c>
      <c r="Q16" s="130">
        <f t="shared" si="3"/>
        <v>18949</v>
      </c>
    </row>
    <row r="17" spans="2:17" x14ac:dyDescent="0.25">
      <c r="B17" s="53" t="s">
        <v>193</v>
      </c>
      <c r="C17" s="143">
        <f t="shared" ref="C17:Q17" si="4">+SUM(C14:C16)</f>
        <v>71809</v>
      </c>
      <c r="D17" s="143">
        <f t="shared" si="4"/>
        <v>70172</v>
      </c>
      <c r="E17" s="143">
        <f t="shared" si="4"/>
        <v>70971</v>
      </c>
      <c r="F17" s="143">
        <f t="shared" si="4"/>
        <v>74552</v>
      </c>
      <c r="G17" s="143">
        <f t="shared" si="4"/>
        <v>73772</v>
      </c>
      <c r="H17" s="149">
        <f t="shared" si="4"/>
        <v>74732.872632871207</v>
      </c>
      <c r="I17" s="149">
        <f t="shared" si="4"/>
        <v>75619.852355903713</v>
      </c>
      <c r="J17" s="149">
        <f t="shared" si="4"/>
        <v>76547.566573153948</v>
      </c>
      <c r="K17" s="149">
        <f t="shared" si="4"/>
        <v>77338.338935648237</v>
      </c>
      <c r="L17" s="149">
        <f t="shared" si="4"/>
        <v>78146.358260370384</v>
      </c>
      <c r="M17" s="149">
        <f t="shared" si="4"/>
        <v>78992.584376613144</v>
      </c>
      <c r="N17" s="149">
        <f t="shared" si="4"/>
        <v>79878.881355069054</v>
      </c>
      <c r="O17" s="149">
        <f t="shared" si="4"/>
        <v>80809.092962167662</v>
      </c>
      <c r="P17" s="149">
        <f t="shared" si="4"/>
        <v>81782.065334365077</v>
      </c>
      <c r="Q17" s="150">
        <f t="shared" si="4"/>
        <v>82801.32210230545</v>
      </c>
    </row>
    <row r="18" spans="2:17" x14ac:dyDescent="0.25">
      <c r="C18" s="86"/>
      <c r="D18" s="86"/>
      <c r="E18" s="86"/>
      <c r="F18" s="86"/>
      <c r="G18" s="86"/>
      <c r="H18" s="130"/>
      <c r="I18" s="130"/>
      <c r="J18" s="130"/>
      <c r="K18" s="130"/>
      <c r="L18" s="130"/>
      <c r="M18" s="130"/>
      <c r="N18" s="130"/>
      <c r="O18" s="130"/>
      <c r="P18" s="130"/>
      <c r="Q18" s="130"/>
    </row>
    <row r="19" spans="2:17" x14ac:dyDescent="0.25">
      <c r="B19" s="145" t="s">
        <v>194</v>
      </c>
      <c r="C19" s="143">
        <f t="shared" ref="C19:Q19" si="5">+C12+C17</f>
        <v>94354</v>
      </c>
      <c r="D19" s="143">
        <f t="shared" si="5"/>
        <v>92763</v>
      </c>
      <c r="E19" s="143">
        <f t="shared" si="5"/>
        <v>97703</v>
      </c>
      <c r="F19" s="143">
        <f t="shared" si="5"/>
        <v>100549</v>
      </c>
      <c r="G19" s="143">
        <f t="shared" si="5"/>
        <v>104816</v>
      </c>
      <c r="H19" s="149">
        <f t="shared" si="5"/>
        <v>106289.38189446556</v>
      </c>
      <c r="I19" s="149">
        <f t="shared" si="5"/>
        <v>107526.65203105376</v>
      </c>
      <c r="J19" s="149">
        <f t="shared" si="5"/>
        <v>108890.13699400288</v>
      </c>
      <c r="K19" s="149">
        <f t="shared" si="5"/>
        <v>110138.50762032266</v>
      </c>
      <c r="L19" s="149">
        <f t="shared" si="5"/>
        <v>111383.742223037</v>
      </c>
      <c r="M19" s="149">
        <f t="shared" si="5"/>
        <v>112699.33246339358</v>
      </c>
      <c r="N19" s="149">
        <f t="shared" si="5"/>
        <v>114077.89336657617</v>
      </c>
      <c r="O19" s="149">
        <f t="shared" si="5"/>
        <v>115547.58893420431</v>
      </c>
      <c r="P19" s="149">
        <f t="shared" si="5"/>
        <v>117045.87024385083</v>
      </c>
      <c r="Q19" s="150">
        <f t="shared" si="5"/>
        <v>118633.72316978849</v>
      </c>
    </row>
    <row r="20" spans="2:17" x14ac:dyDescent="0.25">
      <c r="C20" s="86"/>
      <c r="D20" s="86"/>
      <c r="E20" s="86"/>
      <c r="F20" s="86"/>
      <c r="G20" s="86"/>
      <c r="H20" s="130"/>
      <c r="I20" s="130"/>
      <c r="J20" s="130"/>
      <c r="K20" s="130"/>
      <c r="L20" s="130"/>
      <c r="M20" s="130"/>
      <c r="N20" s="130"/>
      <c r="O20" s="130"/>
      <c r="P20" s="130"/>
      <c r="Q20" s="130"/>
    </row>
    <row r="21" spans="2:17" x14ac:dyDescent="0.25">
      <c r="C21" s="86"/>
      <c r="D21" s="86"/>
      <c r="E21" s="86"/>
      <c r="F21" s="86"/>
      <c r="G21" s="86"/>
      <c r="H21" s="130"/>
      <c r="I21" s="130"/>
      <c r="J21" s="130"/>
      <c r="K21" s="130"/>
      <c r="L21" s="130"/>
      <c r="M21" s="130"/>
      <c r="N21" s="130"/>
      <c r="O21" s="130"/>
      <c r="P21" s="130"/>
      <c r="Q21" s="130"/>
    </row>
    <row r="22" spans="2:17" x14ac:dyDescent="0.25">
      <c r="B22" s="139" t="s">
        <v>195</v>
      </c>
      <c r="C22" s="86"/>
      <c r="D22" s="86"/>
      <c r="E22" s="86"/>
      <c r="F22" s="86"/>
      <c r="G22" s="86"/>
      <c r="H22" s="130"/>
      <c r="I22" s="130"/>
      <c r="J22" s="130"/>
      <c r="K22" s="130"/>
      <c r="L22" s="130"/>
      <c r="M22" s="130"/>
      <c r="N22" s="130"/>
      <c r="O22" s="130"/>
      <c r="P22" s="130"/>
      <c r="Q22" s="130"/>
    </row>
    <row r="23" spans="2:17" x14ac:dyDescent="0.25">
      <c r="C23" s="86"/>
      <c r="D23" s="86"/>
      <c r="E23" s="86"/>
      <c r="F23" s="86"/>
      <c r="G23" s="86"/>
      <c r="H23" s="130"/>
      <c r="I23" s="130"/>
      <c r="J23" s="130"/>
      <c r="K23" s="130"/>
      <c r="L23" s="130"/>
      <c r="M23" s="130"/>
      <c r="N23" s="130"/>
      <c r="O23" s="130"/>
      <c r="P23" s="130"/>
      <c r="Q23" s="130"/>
    </row>
    <row r="24" spans="2:17" x14ac:dyDescent="0.25">
      <c r="B24" s="22" t="s">
        <v>196</v>
      </c>
      <c r="C24" s="129">
        <f>+'Balance Sheet'!C43</f>
        <v>4602</v>
      </c>
      <c r="D24" s="129">
        <f>+'Balance Sheet'!D43</f>
        <v>5307</v>
      </c>
      <c r="E24" s="129">
        <f>+'Balance Sheet'!E43</f>
        <v>5590</v>
      </c>
      <c r="F24" s="129">
        <f>+'Balance Sheet'!F43</f>
        <v>5468</v>
      </c>
      <c r="G24" s="129">
        <f>+'Balance Sheet'!G43</f>
        <v>5649</v>
      </c>
      <c r="H24" s="130">
        <f>+Drivers!H84*IS!H5</f>
        <v>5882.0444055206935</v>
      </c>
      <c r="I24" s="130">
        <f>+Drivers!I84*IS!I5</f>
        <v>5967.3640538042073</v>
      </c>
      <c r="J24" s="130">
        <f>+Drivers!J84*IS!J5</f>
        <v>6269.8842127023527</v>
      </c>
      <c r="K24" s="130">
        <f>+Drivers!K84*IS!K5</f>
        <v>6587.5574407708964</v>
      </c>
      <c r="L24" s="130">
        <f>+Drivers!L84*IS!L5</f>
        <v>6891.0804208616446</v>
      </c>
      <c r="M24" s="130">
        <f>+Drivers!M84*IS!M5</f>
        <v>7216.9217280385992</v>
      </c>
      <c r="N24" s="130">
        <f>+Drivers!N84*IS!N5</f>
        <v>7558.6605028370286</v>
      </c>
      <c r="O24" s="130">
        <f>+Drivers!O84*IS!O5</f>
        <v>7933.1803049881546</v>
      </c>
      <c r="P24" s="130">
        <f>+Drivers!P84*IS!P5</f>
        <v>8297.8595423996776</v>
      </c>
      <c r="Q24" s="130">
        <f>+Drivers!Q84*IS!Q5</f>
        <v>8692.5895736465864</v>
      </c>
    </row>
    <row r="25" spans="2:17" x14ac:dyDescent="0.25">
      <c r="B25" s="22" t="s">
        <v>197</v>
      </c>
      <c r="C25" s="129">
        <f>+'Balance Sheet'!C46</f>
        <v>9652</v>
      </c>
      <c r="D25" s="129">
        <f>+'Balance Sheet'!D46</f>
        <v>9925</v>
      </c>
      <c r="E25" s="129">
        <f>+'Balance Sheet'!E46</f>
        <v>9243</v>
      </c>
      <c r="F25" s="129">
        <f>+'Balance Sheet'!F46</f>
        <v>15811</v>
      </c>
      <c r="G25" s="129">
        <f>+'Balance Sheet'!G46</f>
        <v>8534</v>
      </c>
      <c r="H25" s="130">
        <f>+Drivers!H96*IS!H5</f>
        <v>8724.5563972527798</v>
      </c>
      <c r="I25" s="130">
        <f>+Drivers!I96*IS!I5</f>
        <v>8851.1069691159646</v>
      </c>
      <c r="J25" s="130">
        <f>+Drivers!J96*IS!J5</f>
        <v>9299.8207165224849</v>
      </c>
      <c r="K25" s="130">
        <f>+Drivers!K96*IS!K5</f>
        <v>9771.0102899266003</v>
      </c>
      <c r="L25" s="130">
        <f>+Drivers!L96*IS!L5</f>
        <v>10221.211474259471</v>
      </c>
      <c r="M25" s="130">
        <f>+Drivers!M96*IS!M5</f>
        <v>10704.516370487683</v>
      </c>
      <c r="N25" s="130">
        <f>+Drivers!N96*IS!N5</f>
        <v>11211.401223491957</v>
      </c>
      <c r="O25" s="130">
        <f>+Drivers!O96*IS!O5</f>
        <v>11766.908613522652</v>
      </c>
      <c r="P25" s="130">
        <f>+Drivers!P96*IS!P5</f>
        <v>12307.819962426744</v>
      </c>
      <c r="Q25" s="130">
        <f>+Drivers!Q96*IS!Q5</f>
        <v>12893.304222979203</v>
      </c>
    </row>
    <row r="26" spans="2:17" x14ac:dyDescent="0.25">
      <c r="B26" s="22" t="s">
        <v>198</v>
      </c>
      <c r="C26" s="129">
        <f>+'Balance Sheet'!C44</f>
        <v>686</v>
      </c>
      <c r="D26" s="129">
        <f>+'Balance Sheet'!D44</f>
        <v>1203</v>
      </c>
      <c r="E26" s="129">
        <f>+'Balance Sheet'!E44</f>
        <v>1569</v>
      </c>
      <c r="F26" s="129">
        <f>+'Balance Sheet'!F44</f>
        <v>1387</v>
      </c>
      <c r="G26" s="129">
        <f>+'Balance Sheet'!G44</f>
        <v>525</v>
      </c>
      <c r="H26" s="130">
        <f>+Drivers!H102*IS!H43</f>
        <v>441.49312284410723</v>
      </c>
      <c r="I26" s="130">
        <f>+Drivers!I102*IS!I43</f>
        <v>458.24431558100792</v>
      </c>
      <c r="J26" s="130">
        <f>+Drivers!J102*IS!J43</f>
        <v>488.23445930286925</v>
      </c>
      <c r="K26" s="130">
        <f>+Drivers!K102*IS!K43</f>
        <v>514.29372426274631</v>
      </c>
      <c r="L26" s="130">
        <f>+Drivers!L102*IS!L43</f>
        <v>548.67336463857418</v>
      </c>
      <c r="M26" s="130">
        <f>+Drivers!M102*IS!M43</f>
        <v>586.47530353722902</v>
      </c>
      <c r="N26" s="130">
        <f>+Drivers!N102*IS!N43</f>
        <v>626.59128346515581</v>
      </c>
      <c r="O26" s="130">
        <f>+Drivers!O102*IS!O43</f>
        <v>670.59569064315201</v>
      </c>
      <c r="P26" s="130">
        <f>+Drivers!P102*IS!P43</f>
        <v>714.76504811971745</v>
      </c>
      <c r="Q26" s="130">
        <f>+Drivers!Q102*IS!Q43</f>
        <v>762.74110538190905</v>
      </c>
    </row>
    <row r="27" spans="2:17" x14ac:dyDescent="0.25">
      <c r="B27" s="22" t="s">
        <v>199</v>
      </c>
      <c r="C27" s="129">
        <f>+'Balance Sheet'!C47</f>
        <v>4955</v>
      </c>
      <c r="D27" s="129">
        <f>+'Balance Sheet'!D47</f>
        <v>3113</v>
      </c>
      <c r="E27" s="129">
        <f>+'Balance Sheet'!E47</f>
        <v>6878</v>
      </c>
      <c r="F27" s="129">
        <f>+'Balance Sheet'!F47</f>
        <v>2437</v>
      </c>
      <c r="G27" s="129">
        <f>+'Balance Sheet'!G47</f>
        <v>3694</v>
      </c>
      <c r="H27" s="130">
        <f>+Debt!$C$7</f>
        <v>1551</v>
      </c>
      <c r="I27" s="130">
        <f>+Debt!$C$7</f>
        <v>1551</v>
      </c>
      <c r="J27" s="130">
        <f>+Debt!$C$7</f>
        <v>1551</v>
      </c>
      <c r="K27" s="130">
        <f>+Debt!$C$7</f>
        <v>1551</v>
      </c>
      <c r="L27" s="130">
        <f>+Debt!$C$7</f>
        <v>1551</v>
      </c>
      <c r="M27" s="130">
        <f>+Debt!$C$7</f>
        <v>1551</v>
      </c>
      <c r="N27" s="130">
        <f>+Debt!$C$7</f>
        <v>1551</v>
      </c>
      <c r="O27" s="130">
        <f>+Debt!$C$7</f>
        <v>1551</v>
      </c>
      <c r="P27" s="130">
        <f>+Debt!$C$7</f>
        <v>1551</v>
      </c>
      <c r="Q27" s="130">
        <f>+Debt!$C$7</f>
        <v>1551</v>
      </c>
    </row>
    <row r="28" spans="2:17" x14ac:dyDescent="0.25">
      <c r="B28" s="53" t="s">
        <v>200</v>
      </c>
      <c r="C28" s="142">
        <f>+'Balance Sheet'!C58</f>
        <v>19950</v>
      </c>
      <c r="D28" s="142">
        <f>+'Balance Sheet'!D58</f>
        <v>19724</v>
      </c>
      <c r="E28" s="142">
        <f>+'Balance Sheet'!E58</f>
        <v>23571</v>
      </c>
      <c r="F28" s="142">
        <f>+'Balance Sheet'!F58</f>
        <v>25249</v>
      </c>
      <c r="G28" s="142">
        <f>+'Balance Sheet'!G58</f>
        <v>21281</v>
      </c>
      <c r="H28" s="149">
        <f>+SUM(H24:H27)+'Balance Sheet'!$G$53</f>
        <v>19478.093925617581</v>
      </c>
      <c r="I28" s="149">
        <f>+SUM(I24:I27)+'Balance Sheet'!$G$53</f>
        <v>19706.715338501181</v>
      </c>
      <c r="J28" s="149">
        <f>+SUM(J24:J27)+'Balance Sheet'!$G$53</f>
        <v>20487.939388527706</v>
      </c>
      <c r="K28" s="149">
        <f>+SUM(K24:K27)+'Balance Sheet'!$G$53</f>
        <v>21302.861454960243</v>
      </c>
      <c r="L28" s="149">
        <f>+SUM(L24:L27)+'Balance Sheet'!$G$53</f>
        <v>22090.965259759691</v>
      </c>
      <c r="M28" s="149">
        <f>+SUM(M24:M27)+'Balance Sheet'!$G$53</f>
        <v>22937.913402063514</v>
      </c>
      <c r="N28" s="149">
        <f>+SUM(N24:N27)+'Balance Sheet'!$G$53</f>
        <v>23826.653009794143</v>
      </c>
      <c r="O28" s="149">
        <f>+SUM(O24:O27)+'Balance Sheet'!$G$53</f>
        <v>24800.684609153959</v>
      </c>
      <c r="P28" s="149">
        <f>+SUM(P24:P27)+'Balance Sheet'!$G$53</f>
        <v>25750.444552946137</v>
      </c>
      <c r="Q28" s="150">
        <f>+SUM(Q24:Q27)+'Balance Sheet'!$G$53</f>
        <v>26778.634902007696</v>
      </c>
    </row>
    <row r="29" spans="2:17" x14ac:dyDescent="0.25">
      <c r="C29" s="129"/>
      <c r="D29" s="129"/>
      <c r="E29" s="129"/>
      <c r="F29" s="129"/>
      <c r="G29" s="129"/>
      <c r="H29" s="130"/>
      <c r="I29" s="130"/>
      <c r="J29" s="130"/>
      <c r="K29" s="130"/>
      <c r="L29" s="130"/>
      <c r="M29" s="130"/>
      <c r="N29" s="130"/>
      <c r="O29" s="130"/>
      <c r="P29" s="130"/>
      <c r="Q29" s="130"/>
    </row>
    <row r="30" spans="2:17" x14ac:dyDescent="0.25">
      <c r="B30" s="22" t="s">
        <v>201</v>
      </c>
      <c r="C30" s="129">
        <f>+'Balance Sheet'!C52</f>
        <v>1338</v>
      </c>
      <c r="D30" s="129">
        <f>+'Balance Sheet'!D52</f>
        <v>399</v>
      </c>
      <c r="E30" s="129">
        <f>+'Balance Sheet'!E52</f>
        <v>1960</v>
      </c>
      <c r="F30" s="129">
        <f>+'Balance Sheet'!F52</f>
        <v>648</v>
      </c>
      <c r="G30" s="129">
        <f>+'Balance Sheet'!G52</f>
        <v>1822</v>
      </c>
      <c r="H30" s="130">
        <f>+Debt!C29</f>
        <v>1822</v>
      </c>
      <c r="I30" s="130">
        <f>+Debt!D29</f>
        <v>381</v>
      </c>
      <c r="J30" s="130">
        <f>+Debt!E29</f>
        <v>0</v>
      </c>
      <c r="K30" s="130">
        <f>+Debt!F29</f>
        <v>0</v>
      </c>
      <c r="L30" s="130">
        <f>+Debt!G29</f>
        <v>0</v>
      </c>
      <c r="M30" s="130">
        <f>+Debt!$G$29</f>
        <v>0</v>
      </c>
      <c r="N30" s="130">
        <f>+Debt!$G$29</f>
        <v>0</v>
      </c>
      <c r="O30" s="130">
        <f>+Debt!$G$29</f>
        <v>0</v>
      </c>
      <c r="P30" s="130">
        <f>+Debt!$G$29</f>
        <v>0</v>
      </c>
      <c r="Q30" s="130">
        <f>+Debt!$G$29</f>
        <v>0</v>
      </c>
    </row>
    <row r="31" spans="2:17" x14ac:dyDescent="0.25">
      <c r="B31" s="22" t="s">
        <v>202</v>
      </c>
      <c r="C31" s="129">
        <f>+'Balance Sheet'!C60</f>
        <v>38116</v>
      </c>
      <c r="D31" s="129">
        <f>+'Balance Sheet'!D60</f>
        <v>36377</v>
      </c>
      <c r="E31" s="129">
        <f>+'Balance Sheet'!E60</f>
        <v>35547</v>
      </c>
      <c r="F31" s="129">
        <f>+'Balance Sheet'!F60</f>
        <v>42375</v>
      </c>
      <c r="G31" s="129">
        <f>+'Balance Sheet'!G60</f>
        <v>42119</v>
      </c>
      <c r="H31" s="130">
        <f>+Debt!C46-H30</f>
        <v>42119</v>
      </c>
      <c r="I31" s="130">
        <f>+Debt!D46-I30</f>
        <v>43560</v>
      </c>
      <c r="J31" s="130">
        <f>+Debt!E46-J30</f>
        <v>43941</v>
      </c>
      <c r="K31" s="130">
        <f>+Debt!F46-K30</f>
        <v>43941</v>
      </c>
      <c r="L31" s="130">
        <f>+Debt!G46-L30</f>
        <v>43941</v>
      </c>
      <c r="M31" s="130">
        <f>+Debt!H46-M30</f>
        <v>43941</v>
      </c>
      <c r="N31" s="130">
        <f>+Debt!I46-N30</f>
        <v>43941</v>
      </c>
      <c r="O31" s="130">
        <f>+Debt!J46-O30</f>
        <v>43941</v>
      </c>
      <c r="P31" s="130">
        <f>+Debt!K46-P30</f>
        <v>43941</v>
      </c>
      <c r="Q31" s="130">
        <f>+Debt!L46-Q30</f>
        <v>43941</v>
      </c>
    </row>
    <row r="32" spans="2:17" x14ac:dyDescent="0.25">
      <c r="B32" s="22" t="s">
        <v>203</v>
      </c>
      <c r="C32" s="129">
        <f>+'Balance Sheet'!C49+'Balance Sheet'!C61</f>
        <v>1471</v>
      </c>
      <c r="D32" s="129">
        <f>+'Balance Sheet'!D49+'Balance Sheet'!D61</f>
        <v>1454</v>
      </c>
      <c r="E32" s="129">
        <f>+'Balance Sheet'!E49+'Balance Sheet'!E61</f>
        <v>1362</v>
      </c>
      <c r="F32" s="129">
        <f>+'Balance Sheet'!F49+'Balance Sheet'!F61</f>
        <v>1213</v>
      </c>
      <c r="G32" s="129">
        <f>+'Balance Sheet'!G49+'Balance Sheet'!G61</f>
        <v>1722</v>
      </c>
      <c r="H32" s="130">
        <f>+Debt!C54</f>
        <v>1760.4506815173761</v>
      </c>
      <c r="I32" s="130">
        <f>+Debt!D54</f>
        <v>1785.9861964867225</v>
      </c>
      <c r="J32" s="130">
        <f>+Debt!E54</f>
        <v>1876.5281548923972</v>
      </c>
      <c r="K32" s="130">
        <f>+Debt!F54</f>
        <v>1971.6053104351538</v>
      </c>
      <c r="L32" s="130">
        <f>+Debt!G54</f>
        <v>2062.4474055161481</v>
      </c>
      <c r="M32" s="130">
        <f>+Debt!H54</f>
        <v>2159.9692043566661</v>
      </c>
      <c r="N32" s="130">
        <f>+Debt!I54</f>
        <v>2262.2489930692695</v>
      </c>
      <c r="O32" s="130">
        <f>+Debt!J54</f>
        <v>2374.3398913154447</v>
      </c>
      <c r="P32" s="130">
        <f>+Debt!K54</f>
        <v>2483.485584169071</v>
      </c>
      <c r="Q32" s="130">
        <f>+Debt!L54</f>
        <v>2601.6252486489557</v>
      </c>
    </row>
    <row r="33" spans="2:17" x14ac:dyDescent="0.25">
      <c r="B33" s="22" t="s">
        <v>204</v>
      </c>
      <c r="C33" s="129">
        <f>+'Balance Sheet'!C72-C28-C30-C31-C32</f>
        <v>8619</v>
      </c>
      <c r="D33" s="129">
        <f>+'Balance Sheet'!D72-D28-D30-D31-D32</f>
        <v>8983</v>
      </c>
      <c r="E33" s="129">
        <f>+'Balance Sheet'!E72-E28-E30-E31-E32</f>
        <v>7783</v>
      </c>
      <c r="F33" s="129">
        <f>+'Balance Sheet'!F72-F28-F30-F31-F32</f>
        <v>4692</v>
      </c>
      <c r="G33" s="129">
        <f>+'Balance Sheet'!G72-G28-G30-G31-G32</f>
        <v>3597</v>
      </c>
      <c r="H33" s="130">
        <f>+G33+CF!H10</f>
        <v>3737.5887700017361</v>
      </c>
      <c r="I33" s="130">
        <f>+H33+CF!I10</f>
        <v>3883.5117784345757</v>
      </c>
      <c r="J33" s="130">
        <f>+I33+CF!J10</f>
        <v>4038.984827853038</v>
      </c>
      <c r="K33" s="130">
        <f>+J33+CF!K10</f>
        <v>4202.756171895564</v>
      </c>
      <c r="L33" s="130">
        <f>+K33+CF!L10</f>
        <v>4377.4753452551195</v>
      </c>
      <c r="M33" s="130">
        <f>+L33+CF!M10</f>
        <v>4564.232142347535</v>
      </c>
      <c r="N33" s="130">
        <f>+M33+CF!N10</f>
        <v>4763.7634448255603</v>
      </c>
      <c r="O33" s="130">
        <f>+N33+CF!O10</f>
        <v>4977.3074808201491</v>
      </c>
      <c r="P33" s="130">
        <f>+O33+CF!P10</f>
        <v>5204.9167769922788</v>
      </c>
      <c r="Q33" s="130">
        <f>+P33+CF!Q10</f>
        <v>5447.8035362346682</v>
      </c>
    </row>
    <row r="34" spans="2:17" x14ac:dyDescent="0.25">
      <c r="B34" s="145" t="s">
        <v>205</v>
      </c>
      <c r="C34" s="142">
        <f>+'Balance Sheet'!C71</f>
        <v>49544</v>
      </c>
      <c r="D34" s="142">
        <f>+'Balance Sheet'!D71</f>
        <v>47213</v>
      </c>
      <c r="E34" s="142">
        <f>+'Balance Sheet'!E71</f>
        <v>46652</v>
      </c>
      <c r="F34" s="142">
        <f>+'Balance Sheet'!F71</f>
        <v>48928</v>
      </c>
      <c r="G34" s="142">
        <f>+'Balance Sheet'!G71</f>
        <v>49260</v>
      </c>
      <c r="H34" s="149">
        <f t="shared" ref="H34:Q34" si="6">+SUM(H30:H33)</f>
        <v>49439.039451519107</v>
      </c>
      <c r="I34" s="149">
        <f t="shared" si="6"/>
        <v>49610.497974921302</v>
      </c>
      <c r="J34" s="149">
        <f t="shared" si="6"/>
        <v>49856.512982745437</v>
      </c>
      <c r="K34" s="149">
        <f t="shared" si="6"/>
        <v>50115.361482330714</v>
      </c>
      <c r="L34" s="149">
        <f t="shared" si="6"/>
        <v>50380.922750771264</v>
      </c>
      <c r="M34" s="149">
        <f t="shared" si="6"/>
        <v>50665.201346704205</v>
      </c>
      <c r="N34" s="149">
        <f t="shared" si="6"/>
        <v>50967.012437894831</v>
      </c>
      <c r="O34" s="149">
        <f t="shared" si="6"/>
        <v>51292.647372135594</v>
      </c>
      <c r="P34" s="149">
        <f t="shared" si="6"/>
        <v>51629.402361161352</v>
      </c>
      <c r="Q34" s="150">
        <f t="shared" si="6"/>
        <v>51990.428784883625</v>
      </c>
    </row>
    <row r="35" spans="2:17" x14ac:dyDescent="0.25">
      <c r="C35" s="129"/>
      <c r="D35" s="129"/>
      <c r="E35" s="129"/>
      <c r="F35" s="129"/>
      <c r="G35" s="129"/>
      <c r="H35" s="130"/>
      <c r="I35" s="130"/>
      <c r="J35" s="130"/>
      <c r="K35" s="130"/>
      <c r="L35" s="130"/>
      <c r="M35" s="130"/>
      <c r="N35" s="130"/>
      <c r="O35" s="130"/>
      <c r="P35" s="130"/>
      <c r="Q35" s="130"/>
    </row>
    <row r="36" spans="2:17" x14ac:dyDescent="0.25">
      <c r="B36" s="145" t="s">
        <v>206</v>
      </c>
      <c r="C36" s="142">
        <f>+'Balance Sheet'!C72</f>
        <v>69494</v>
      </c>
      <c r="D36" s="142">
        <f>+'Balance Sheet'!D72</f>
        <v>66937</v>
      </c>
      <c r="E36" s="142">
        <f>+'Balance Sheet'!E72</f>
        <v>70223</v>
      </c>
      <c r="F36" s="142">
        <f>+'Balance Sheet'!F72</f>
        <v>74177</v>
      </c>
      <c r="G36" s="142">
        <f>+'Balance Sheet'!G72</f>
        <v>70541</v>
      </c>
      <c r="H36" s="149">
        <f t="shared" ref="H36:Q36" si="7">+H28+H34</f>
        <v>68917.133377136692</v>
      </c>
      <c r="I36" s="149">
        <f t="shared" si="7"/>
        <v>69317.213313422486</v>
      </c>
      <c r="J36" s="149">
        <f t="shared" si="7"/>
        <v>70344.452371273146</v>
      </c>
      <c r="K36" s="149">
        <f t="shared" si="7"/>
        <v>71418.222937290964</v>
      </c>
      <c r="L36" s="149">
        <f t="shared" si="7"/>
        <v>72471.888010530951</v>
      </c>
      <c r="M36" s="149">
        <f t="shared" si="7"/>
        <v>73603.114748767723</v>
      </c>
      <c r="N36" s="149">
        <f t="shared" si="7"/>
        <v>74793.665447688982</v>
      </c>
      <c r="O36" s="149">
        <f t="shared" si="7"/>
        <v>76093.33198128955</v>
      </c>
      <c r="P36" s="149">
        <f t="shared" si="7"/>
        <v>77379.846914107489</v>
      </c>
      <c r="Q36" s="150">
        <f t="shared" si="7"/>
        <v>78769.063686891313</v>
      </c>
    </row>
    <row r="37" spans="2:17" x14ac:dyDescent="0.25">
      <c r="C37" s="129"/>
      <c r="D37" s="129"/>
      <c r="E37" s="129"/>
      <c r="F37" s="129"/>
      <c r="G37" s="129"/>
      <c r="H37" s="130"/>
      <c r="I37" s="130"/>
      <c r="J37" s="130"/>
      <c r="K37" s="130"/>
      <c r="L37" s="130"/>
      <c r="M37" s="130"/>
      <c r="N37" s="130"/>
      <c r="O37" s="130"/>
      <c r="P37" s="130"/>
      <c r="Q37" s="130"/>
    </row>
    <row r="38" spans="2:17" x14ac:dyDescent="0.25">
      <c r="B38" s="139" t="s">
        <v>207</v>
      </c>
      <c r="C38" s="129"/>
      <c r="D38" s="129"/>
      <c r="E38" s="129"/>
      <c r="F38" s="129"/>
      <c r="G38" s="129"/>
      <c r="H38" s="130"/>
      <c r="I38" s="130"/>
      <c r="J38" s="130"/>
      <c r="K38" s="130"/>
      <c r="L38" s="130"/>
      <c r="M38" s="130"/>
      <c r="N38" s="130"/>
      <c r="O38" s="130"/>
      <c r="P38" s="130"/>
      <c r="Q38" s="130"/>
    </row>
    <row r="39" spans="2:17" x14ac:dyDescent="0.25">
      <c r="C39" s="129"/>
      <c r="D39" s="129"/>
      <c r="E39" s="129"/>
      <c r="F39" s="129"/>
      <c r="G39" s="129"/>
      <c r="H39" s="130"/>
      <c r="I39" s="130"/>
      <c r="J39" s="130"/>
      <c r="K39" s="130"/>
      <c r="L39" s="130"/>
      <c r="M39" s="130"/>
      <c r="N39" s="130"/>
      <c r="O39" s="130"/>
      <c r="P39" s="130"/>
      <c r="Q39" s="130"/>
    </row>
    <row r="40" spans="2:17" x14ac:dyDescent="0.25">
      <c r="B40" s="22" t="s">
        <v>208</v>
      </c>
      <c r="C40" s="129">
        <f>+'Balance Sheet'!C74</f>
        <v>19876</v>
      </c>
      <c r="D40" s="129">
        <f>+'Balance Sheet'!D74</f>
        <v>20582</v>
      </c>
      <c r="E40" s="129">
        <f>+'Balance Sheet'!E74</f>
        <v>20969</v>
      </c>
      <c r="F40" s="129">
        <f>+'Balance Sheet'!F74</f>
        <v>21561</v>
      </c>
      <c r="G40" s="129">
        <f>+'Balance Sheet'!G74</f>
        <v>22341</v>
      </c>
      <c r="H40" s="130">
        <f>+G40+CF!H9</f>
        <v>22626.823645553755</v>
      </c>
      <c r="I40" s="130">
        <f>+H40+CF!I9</f>
        <v>22916.79319195907</v>
      </c>
      <c r="J40" s="130">
        <f>+I40+CF!J9</f>
        <v>23221.462969900993</v>
      </c>
      <c r="K40" s="130">
        <f>+J40+CF!K9</f>
        <v>23541.569305930807</v>
      </c>
      <c r="L40" s="130">
        <f>+K40+CF!L9</f>
        <v>23876.424603154701</v>
      </c>
      <c r="M40" s="130">
        <f>+L40+CF!M9</f>
        <v>24227.113366409882</v>
      </c>
      <c r="N40" s="130">
        <f>+M40+CF!N9</f>
        <v>24594.408094480335</v>
      </c>
      <c r="O40" s="130">
        <f>+N40+CF!O9</f>
        <v>24979.901701682411</v>
      </c>
      <c r="P40" s="130">
        <f>+O40+CF!P9</f>
        <v>25383.116009700159</v>
      </c>
      <c r="Q40" s="130">
        <f>+P40+CF!Q9</f>
        <v>25805.511263790781</v>
      </c>
    </row>
    <row r="41" spans="2:17" x14ac:dyDescent="0.25">
      <c r="B41" s="22" t="s">
        <v>209</v>
      </c>
      <c r="C41" s="129">
        <f>+-'Balance Sheet'!C77</f>
        <v>-51641</v>
      </c>
      <c r="D41" s="129">
        <f>+-'Balance Sheet'!D77</f>
        <v>-52601</v>
      </c>
      <c r="E41" s="129">
        <f>+-'Balance Sheet'!E77</f>
        <v>-54535</v>
      </c>
      <c r="F41" s="129">
        <f>+-'Balance Sheet'!F77</f>
        <v>-55916</v>
      </c>
      <c r="G41" s="129">
        <f>+-'Balance Sheet'!G77</f>
        <v>-56423</v>
      </c>
      <c r="H41" s="130">
        <f>+G41-CF!H31*-1</f>
        <v>-56423</v>
      </c>
      <c r="I41" s="130">
        <f>+H41-CF!I31*-1</f>
        <v>-58793.875686708736</v>
      </c>
      <c r="J41" s="130">
        <f>+I41-CF!J31*-1</f>
        <v>-61871.372908870158</v>
      </c>
      <c r="K41" s="130">
        <f>+J41-CF!K31*-1</f>
        <v>-65291.897736360814</v>
      </c>
      <c r="L41" s="130">
        <f>+K41-CF!L31*-1</f>
        <v>-68929.131346124923</v>
      </c>
      <c r="M41" s="130">
        <f>+L41-CF!M31*-1</f>
        <v>-72830.126910672101</v>
      </c>
      <c r="N41" s="130">
        <f>+M41-CF!N31*-1</f>
        <v>-76999.539995087325</v>
      </c>
      <c r="O41" s="130">
        <f>+N41-CF!O31*-1</f>
        <v>-81485.352861422216</v>
      </c>
      <c r="P41" s="130">
        <f>+O41-CF!P31*-1</f>
        <v>-86228.419220581505</v>
      </c>
      <c r="Q41" s="130">
        <f>+P41-CF!Q31*-1</f>
        <v>-91309.307919781946</v>
      </c>
    </row>
    <row r="42" spans="2:17" x14ac:dyDescent="0.25">
      <c r="B42" s="22" t="s">
        <v>210</v>
      </c>
      <c r="C42" s="129">
        <f>+'Balance Sheet'!C78+'Balance Sheet'!C79</f>
        <v>54764</v>
      </c>
      <c r="D42" s="129">
        <f>+'Balance Sheet'!D78+'Balance Sheet'!D79</f>
        <v>56124</v>
      </c>
      <c r="E42" s="129">
        <f>+'Balance Sheet'!E78+'Balance Sheet'!E79</f>
        <v>59507</v>
      </c>
      <c r="F42" s="129">
        <f>+'Balance Sheet'!F78+'Balance Sheet'!F79</f>
        <v>59211</v>
      </c>
      <c r="G42" s="129">
        <f>+'Balance Sheet'!G78+'Balance Sheet'!G79</f>
        <v>66251</v>
      </c>
      <c r="H42" s="130">
        <f>+G42+IS!H51-CF!H28*-1</f>
        <v>69062.424871775132</v>
      </c>
      <c r="I42" s="130">
        <f>+H42+IS!I51-CF!I28*-1</f>
        <v>71980.521212380947</v>
      </c>
      <c r="J42" s="130">
        <f>+I42+IS!J51-CF!J28*-1</f>
        <v>75089.594561698905</v>
      </c>
      <c r="K42" s="130">
        <f>+J42+IS!K51-CF!K28*-1</f>
        <v>78364.613113461703</v>
      </c>
      <c r="L42" s="130">
        <f>+K42+IS!L51-CF!L28*-1</f>
        <v>81858.560955476249</v>
      </c>
      <c r="M42" s="130">
        <f>+L42+IS!M51-CF!M28*-1</f>
        <v>85593.231258888074</v>
      </c>
      <c r="N42" s="130">
        <f>+M42+IS!N51-CF!N28*-1</f>
        <v>89583.359819494159</v>
      </c>
      <c r="O42" s="130">
        <f>+N42+IS!O51-CF!O28*-1</f>
        <v>93853.708112654553</v>
      </c>
      <c r="P42" s="130">
        <f>+O42+IS!P51-CF!P28*-1</f>
        <v>98405.326540624694</v>
      </c>
      <c r="Q42" s="130">
        <f>+P42+IS!Q51-CF!Q28*-1</f>
        <v>103262.45613888833</v>
      </c>
    </row>
    <row r="43" spans="2:17" x14ac:dyDescent="0.25">
      <c r="B43" s="22" t="s">
        <v>211</v>
      </c>
      <c r="C43" s="129">
        <f>+'Balance Sheet'!C81</f>
        <v>1861</v>
      </c>
      <c r="D43" s="129">
        <f>+'Balance Sheet'!D81</f>
        <v>1721</v>
      </c>
      <c r="E43" s="129">
        <f>+'Balance Sheet'!E81</f>
        <v>1539</v>
      </c>
      <c r="F43" s="129">
        <f>+'Balance Sheet'!F81</f>
        <v>1516</v>
      </c>
      <c r="G43" s="129">
        <f>+'Balance Sheet'!G81</f>
        <v>2106</v>
      </c>
      <c r="H43" s="130">
        <f>+G43+IS!H49</f>
        <v>2106</v>
      </c>
      <c r="I43" s="130">
        <f>+H43+IS!I49</f>
        <v>2106</v>
      </c>
      <c r="J43" s="130">
        <f>+I43+IS!J49</f>
        <v>2106</v>
      </c>
      <c r="K43" s="130">
        <f>+J43+IS!K49</f>
        <v>2106</v>
      </c>
      <c r="L43" s="130">
        <f>+K43+IS!L49</f>
        <v>2106</v>
      </c>
      <c r="M43" s="130">
        <f>+L43+IS!M49</f>
        <v>2106</v>
      </c>
      <c r="N43" s="130">
        <f>+M43+IS!N49</f>
        <v>2106</v>
      </c>
      <c r="O43" s="130">
        <f>+N43+IS!O49</f>
        <v>2106</v>
      </c>
      <c r="P43" s="130">
        <f>+O43+IS!P49</f>
        <v>2106</v>
      </c>
      <c r="Q43" s="130">
        <f>+P43+IS!Q49</f>
        <v>2106</v>
      </c>
    </row>
    <row r="44" spans="2:17" x14ac:dyDescent="0.25">
      <c r="B44" s="145" t="s">
        <v>212</v>
      </c>
      <c r="C44" s="142">
        <f>+'Balance Sheet'!C82</f>
        <v>24860</v>
      </c>
      <c r="D44" s="142">
        <f>+'Balance Sheet'!D82</f>
        <v>25826</v>
      </c>
      <c r="E44" s="142">
        <f>+'Balance Sheet'!E82</f>
        <v>27480</v>
      </c>
      <c r="F44" s="142">
        <f>+'Balance Sheet'!F82</f>
        <v>26372</v>
      </c>
      <c r="G44" s="142">
        <f>+'Balance Sheet'!G82</f>
        <v>34275</v>
      </c>
      <c r="H44" s="149">
        <f t="shared" ref="H44:Q44" si="8">+SUM(H40:H43)</f>
        <v>37372.248517328888</v>
      </c>
      <c r="I44" s="149">
        <f t="shared" si="8"/>
        <v>38209.438717631281</v>
      </c>
      <c r="J44" s="149">
        <f t="shared" si="8"/>
        <v>38545.684622729736</v>
      </c>
      <c r="K44" s="149">
        <f t="shared" si="8"/>
        <v>38720.284683031699</v>
      </c>
      <c r="L44" s="149">
        <f t="shared" si="8"/>
        <v>38911.854212506027</v>
      </c>
      <c r="M44" s="149">
        <f t="shared" si="8"/>
        <v>39096.217714625855</v>
      </c>
      <c r="N44" s="149">
        <f t="shared" si="8"/>
        <v>39284.227918887169</v>
      </c>
      <c r="O44" s="149">
        <f t="shared" si="8"/>
        <v>39454.256952914744</v>
      </c>
      <c r="P44" s="149">
        <f t="shared" si="8"/>
        <v>39666.023329743344</v>
      </c>
      <c r="Q44" s="150">
        <f t="shared" si="8"/>
        <v>39864.659482897165</v>
      </c>
    </row>
    <row r="45" spans="2:17" x14ac:dyDescent="0.25">
      <c r="C45" s="129"/>
      <c r="D45" s="129"/>
      <c r="E45" s="129"/>
      <c r="F45" s="129"/>
      <c r="G45" s="129"/>
      <c r="H45" s="130"/>
      <c r="I45" s="130"/>
      <c r="J45" s="130"/>
      <c r="K45" s="130"/>
      <c r="L45" s="130"/>
      <c r="M45" s="130"/>
      <c r="N45" s="130"/>
      <c r="O45" s="130"/>
      <c r="P45" s="130"/>
      <c r="Q45" s="130"/>
    </row>
    <row r="46" spans="2:17" x14ac:dyDescent="0.25">
      <c r="B46" s="145" t="s">
        <v>213</v>
      </c>
      <c r="C46" s="142">
        <f t="shared" ref="C46:Q46" si="9">+C36+C44</f>
        <v>94354</v>
      </c>
      <c r="D46" s="142">
        <f t="shared" si="9"/>
        <v>92763</v>
      </c>
      <c r="E46" s="142">
        <f t="shared" si="9"/>
        <v>97703</v>
      </c>
      <c r="F46" s="142">
        <f t="shared" si="9"/>
        <v>100549</v>
      </c>
      <c r="G46" s="142">
        <f t="shared" si="9"/>
        <v>104816</v>
      </c>
      <c r="H46" s="149">
        <f t="shared" si="9"/>
        <v>106289.38189446558</v>
      </c>
      <c r="I46" s="149">
        <f t="shared" si="9"/>
        <v>107526.65203105376</v>
      </c>
      <c r="J46" s="149">
        <f t="shared" si="9"/>
        <v>108890.13699400288</v>
      </c>
      <c r="K46" s="149">
        <f t="shared" si="9"/>
        <v>110138.50762032266</v>
      </c>
      <c r="L46" s="149">
        <f t="shared" si="9"/>
        <v>111383.74222303697</v>
      </c>
      <c r="M46" s="149">
        <f t="shared" si="9"/>
        <v>112699.33246339357</v>
      </c>
      <c r="N46" s="149">
        <f t="shared" si="9"/>
        <v>114077.89336657614</v>
      </c>
      <c r="O46" s="149">
        <f t="shared" si="9"/>
        <v>115547.58893420429</v>
      </c>
      <c r="P46" s="149">
        <f t="shared" si="9"/>
        <v>117045.87024385083</v>
      </c>
      <c r="Q46" s="150">
        <f t="shared" si="9"/>
        <v>118633.72316978849</v>
      </c>
    </row>
    <row r="48" spans="2:17" x14ac:dyDescent="0.25">
      <c r="B48" s="151" t="s">
        <v>214</v>
      </c>
      <c r="C48" s="152">
        <f t="shared" ref="C48:Q48" si="10">+C19-C46</f>
        <v>0</v>
      </c>
      <c r="D48" s="152">
        <f t="shared" si="10"/>
        <v>0</v>
      </c>
      <c r="E48" s="152">
        <f t="shared" si="10"/>
        <v>0</v>
      </c>
      <c r="F48" s="152">
        <f t="shared" si="10"/>
        <v>0</v>
      </c>
      <c r="G48" s="152">
        <f t="shared" si="10"/>
        <v>0</v>
      </c>
      <c r="H48" s="152">
        <f t="shared" si="10"/>
        <v>0</v>
      </c>
      <c r="I48" s="152">
        <f t="shared" si="10"/>
        <v>0</v>
      </c>
      <c r="J48" s="152">
        <f t="shared" si="10"/>
        <v>0</v>
      </c>
      <c r="K48" s="152">
        <f t="shared" si="10"/>
        <v>0</v>
      </c>
      <c r="L48" s="152">
        <f t="shared" si="10"/>
        <v>0</v>
      </c>
      <c r="M48" s="152">
        <f t="shared" si="10"/>
        <v>0</v>
      </c>
      <c r="N48" s="152">
        <f t="shared" si="10"/>
        <v>0</v>
      </c>
      <c r="O48" s="152">
        <f t="shared" si="10"/>
        <v>0</v>
      </c>
      <c r="P48" s="152">
        <f t="shared" si="10"/>
        <v>0</v>
      </c>
      <c r="Q48" s="152">
        <f t="shared" si="10"/>
        <v>0</v>
      </c>
    </row>
  </sheetData>
  <mergeCells count="1">
    <mergeCell ref="B3:Q3"/>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O28"/>
  <sheetViews>
    <sheetView showGridLines="0" zoomScaleNormal="100" workbookViewId="0">
      <selection activeCell="F31" sqref="F31"/>
    </sheetView>
  </sheetViews>
  <sheetFormatPr defaultColWidth="8.7109375" defaultRowHeight="15" x14ac:dyDescent="0.25"/>
  <cols>
    <col min="2" max="2" width="30.7109375" customWidth="1"/>
    <col min="4" max="4" width="20.42578125" customWidth="1"/>
    <col min="6" max="6" width="50.140625" customWidth="1"/>
    <col min="7" max="7" width="7" customWidth="1"/>
    <col min="8" max="8" width="12.5703125" customWidth="1"/>
    <col min="9" max="9" width="21.7109375" customWidth="1"/>
    <col min="10" max="10" width="22.85546875" customWidth="1"/>
    <col min="11" max="11" width="23.140625" customWidth="1"/>
    <col min="12" max="12" width="7.7109375" customWidth="1"/>
    <col min="13" max="13" width="10" customWidth="1"/>
    <col min="14" max="14" width="16.42578125" customWidth="1"/>
  </cols>
  <sheetData>
    <row r="2" spans="2:15" x14ac:dyDescent="0.25">
      <c r="B2" s="302" t="s">
        <v>215</v>
      </c>
      <c r="C2" s="302"/>
      <c r="D2" s="302"/>
      <c r="F2" s="309" t="s">
        <v>216</v>
      </c>
      <c r="G2" s="309"/>
      <c r="H2" s="309"/>
      <c r="I2" s="309"/>
      <c r="J2" s="309"/>
      <c r="K2" s="309"/>
      <c r="L2" s="309"/>
      <c r="M2" s="309"/>
      <c r="N2" s="309"/>
    </row>
    <row r="3" spans="2:15" x14ac:dyDescent="0.25">
      <c r="B3" s="39" t="s">
        <v>217</v>
      </c>
      <c r="C3" s="18"/>
      <c r="D3" s="18"/>
      <c r="F3" s="39" t="s">
        <v>218</v>
      </c>
      <c r="G3" s="153" t="s">
        <v>219</v>
      </c>
      <c r="H3" s="153" t="s">
        <v>220</v>
      </c>
      <c r="I3" s="153" t="s">
        <v>221</v>
      </c>
      <c r="J3" s="153" t="s">
        <v>207</v>
      </c>
      <c r="K3" s="153" t="s">
        <v>222</v>
      </c>
      <c r="L3" s="153" t="s">
        <v>223</v>
      </c>
      <c r="M3" s="153" t="s">
        <v>37</v>
      </c>
      <c r="N3" s="153" t="s">
        <v>224</v>
      </c>
      <c r="O3" s="107"/>
    </row>
    <row r="4" spans="2:15" x14ac:dyDescent="0.25">
      <c r="B4" s="22" t="s">
        <v>225</v>
      </c>
      <c r="D4" s="154">
        <f>+Debt!C57*1000000</f>
        <v>47252450681.517372</v>
      </c>
      <c r="F4" s="108" t="s">
        <v>226</v>
      </c>
      <c r="G4" s="1" t="s">
        <v>227</v>
      </c>
      <c r="H4" s="155">
        <v>0.38219999999999998</v>
      </c>
      <c r="I4" s="86">
        <v>16141000000</v>
      </c>
      <c r="J4" s="86">
        <v>47193000000</v>
      </c>
      <c r="K4" s="156">
        <f>+I4+J4</f>
        <v>63334000000</v>
      </c>
      <c r="L4" s="157">
        <f>+I4/J4</f>
        <v>0.34202106244570168</v>
      </c>
      <c r="M4" s="27">
        <v>0.22600000000000001</v>
      </c>
      <c r="N4" s="158">
        <f>+H4*(J4/K4)+$D$21*(I4/K4)</f>
        <v>0.28479433795433728</v>
      </c>
      <c r="O4" s="159"/>
    </row>
    <row r="5" spans="2:15" x14ac:dyDescent="0.25">
      <c r="B5" s="22" t="s">
        <v>212</v>
      </c>
      <c r="D5" s="160">
        <v>398889317790</v>
      </c>
      <c r="F5" s="108" t="s">
        <v>228</v>
      </c>
      <c r="G5" s="1" t="s">
        <v>229</v>
      </c>
      <c r="H5" s="155">
        <v>0.32979999999999998</v>
      </c>
      <c r="I5" s="86">
        <v>40901000000</v>
      </c>
      <c r="J5" s="86">
        <v>185019345570</v>
      </c>
      <c r="K5" s="156">
        <f>+I5+J5</f>
        <v>225920345570</v>
      </c>
      <c r="L5" s="157">
        <f>+I5/J5</f>
        <v>0.22106336974651963</v>
      </c>
      <c r="M5" s="27">
        <v>0.19</v>
      </c>
      <c r="N5" s="158">
        <f>+H5*(J5/K5)+$D$21*(I5/K5)</f>
        <v>0.2700924523421443</v>
      </c>
    </row>
    <row r="6" spans="2:15" x14ac:dyDescent="0.25">
      <c r="B6" s="22" t="s">
        <v>230</v>
      </c>
      <c r="C6" s="22"/>
      <c r="D6" s="161">
        <f>+D4/(D5+D4)</f>
        <v>0.10591353247064125</v>
      </c>
      <c r="F6" s="108" t="s">
        <v>231</v>
      </c>
      <c r="G6" s="1" t="s">
        <v>232</v>
      </c>
      <c r="H6" s="155">
        <v>0.52680000000000005</v>
      </c>
      <c r="I6" s="86">
        <v>0</v>
      </c>
      <c r="J6" s="86">
        <v>90348379040</v>
      </c>
      <c r="K6" s="156">
        <f>+I6+J6</f>
        <v>90348379040</v>
      </c>
      <c r="L6" s="157">
        <f>+I6/J6</f>
        <v>0</v>
      </c>
      <c r="M6" s="27">
        <v>0.23200000000000001</v>
      </c>
      <c r="N6" s="158">
        <f>+H6*(J6/K6)+$D$21*(I6/K6)</f>
        <v>0.52680000000000005</v>
      </c>
    </row>
    <row r="7" spans="2:15" x14ac:dyDescent="0.25">
      <c r="B7" s="22" t="s">
        <v>233</v>
      </c>
      <c r="C7" s="22"/>
      <c r="D7" s="161">
        <f>+D5/(D5+D4)</f>
        <v>0.89408646752935872</v>
      </c>
      <c r="F7" s="162" t="s">
        <v>234</v>
      </c>
      <c r="G7" s="163" t="s">
        <v>235</v>
      </c>
      <c r="H7" s="164">
        <v>1.0037</v>
      </c>
      <c r="I7" s="165">
        <v>669926000</v>
      </c>
      <c r="J7" s="165">
        <v>7203906450</v>
      </c>
      <c r="K7" s="166">
        <f>+I7+J7</f>
        <v>7873832450</v>
      </c>
      <c r="L7" s="167">
        <f>+I7/J7</f>
        <v>9.2994822274517455E-2</v>
      </c>
      <c r="M7" s="168">
        <v>0.25700000000000001</v>
      </c>
      <c r="N7" s="169">
        <f>+H7*(J7/K7)+$D$21*(I7/K7)</f>
        <v>0.91830261181961026</v>
      </c>
    </row>
    <row r="8" spans="2:15" x14ac:dyDescent="0.25">
      <c r="B8" s="22" t="s">
        <v>236</v>
      </c>
      <c r="C8" s="22"/>
      <c r="D8" s="158">
        <f>+D4/D5</f>
        <v>0.11846005539409803</v>
      </c>
      <c r="F8" s="162" t="s">
        <v>237</v>
      </c>
      <c r="G8" s="163" t="s">
        <v>238</v>
      </c>
      <c r="H8" s="164">
        <v>0.83479999999999999</v>
      </c>
      <c r="I8" s="165">
        <v>58936000</v>
      </c>
      <c r="J8" s="165">
        <v>3384193095</v>
      </c>
      <c r="K8" s="166">
        <f>+I8+J8</f>
        <v>3443129095</v>
      </c>
      <c r="L8" s="167">
        <f>+I8/J8</f>
        <v>1.7415081925164201E-2</v>
      </c>
      <c r="M8" s="168">
        <v>0.23599999999999999</v>
      </c>
      <c r="N8" s="169">
        <f>+H8*(J8/K8)+$D$21*(I8/K8)</f>
        <v>0.82051073827250731</v>
      </c>
    </row>
    <row r="9" spans="2:15" x14ac:dyDescent="0.25">
      <c r="B9" s="22" t="s">
        <v>239</v>
      </c>
      <c r="C9" s="22"/>
      <c r="D9" s="158">
        <f>+D5/D4</f>
        <v>8.4416641261322791</v>
      </c>
      <c r="F9" s="170" t="s">
        <v>240</v>
      </c>
      <c r="G9" s="30"/>
      <c r="H9" s="171">
        <f>+MEDIAN(H4:H8)</f>
        <v>0.52680000000000005</v>
      </c>
      <c r="I9" s="30"/>
      <c r="J9" s="30"/>
      <c r="K9" s="30"/>
      <c r="L9" s="30"/>
      <c r="M9" s="30"/>
      <c r="N9" s="171">
        <f>+MEDIAN(N4:N8)</f>
        <v>0.52680000000000005</v>
      </c>
    </row>
    <row r="10" spans="2:15" x14ac:dyDescent="0.25">
      <c r="B10" s="22"/>
      <c r="C10" s="22"/>
      <c r="D10" s="1"/>
      <c r="F10" s="57" t="s">
        <v>241</v>
      </c>
      <c r="G10" s="57"/>
      <c r="H10" s="155">
        <f>+AVERAGE(H4:H8)</f>
        <v>0.6154599999999999</v>
      </c>
      <c r="I10" s="107"/>
      <c r="J10" s="107"/>
      <c r="K10" s="107"/>
      <c r="L10" s="107"/>
      <c r="M10" s="107"/>
      <c r="N10" s="155">
        <f>+AVERAGE(N4:N8)</f>
        <v>0.56410002807771975</v>
      </c>
    </row>
    <row r="11" spans="2:15" x14ac:dyDescent="0.25">
      <c r="B11" s="58" t="s">
        <v>242</v>
      </c>
      <c r="C11" s="18"/>
      <c r="D11" s="172"/>
      <c r="F11" s="173" t="s">
        <v>243</v>
      </c>
      <c r="G11" s="170"/>
      <c r="H11" s="174">
        <f>+MEDIAN(H4:H6)</f>
        <v>0.38219999999999998</v>
      </c>
      <c r="I11" s="175"/>
      <c r="J11" s="175"/>
      <c r="K11" s="175"/>
      <c r="L11" s="175"/>
      <c r="M11" s="175"/>
      <c r="N11" s="176">
        <f>+MEDIAN(N4:N6)</f>
        <v>0.28479433795433728</v>
      </c>
    </row>
    <row r="12" spans="2:15" x14ac:dyDescent="0.25">
      <c r="B12" s="22" t="s">
        <v>244</v>
      </c>
      <c r="D12" s="177">
        <v>4.2500000000000003E-2</v>
      </c>
      <c r="F12" s="178" t="s">
        <v>245</v>
      </c>
      <c r="G12" s="18"/>
      <c r="H12" s="179">
        <f>+AVERAGE(H4:H6)</f>
        <v>0.41293333333333332</v>
      </c>
      <c r="I12" s="18"/>
      <c r="J12" s="18"/>
      <c r="K12" s="18"/>
      <c r="L12" s="18"/>
      <c r="M12" s="18"/>
      <c r="N12" s="180">
        <f>+AVERAGE(N4:N6)</f>
        <v>0.36056226343216052</v>
      </c>
    </row>
    <row r="13" spans="2:15" x14ac:dyDescent="0.25">
      <c r="B13" s="22" t="s">
        <v>246</v>
      </c>
      <c r="D13" s="161">
        <f>+D14+D12</f>
        <v>9.5200000000000007E-2</v>
      </c>
    </row>
    <row r="14" spans="2:15" x14ac:dyDescent="0.25">
      <c r="B14" s="22" t="s">
        <v>247</v>
      </c>
      <c r="D14" s="161">
        <v>5.2699999999999997E-2</v>
      </c>
    </row>
    <row r="15" spans="2:15" x14ac:dyDescent="0.25">
      <c r="B15" s="22" t="s">
        <v>248</v>
      </c>
      <c r="D15" s="158">
        <f>+D16*(1+D8)-D21*D8</f>
        <v>0.40327448913135561</v>
      </c>
    </row>
    <row r="16" spans="2:15" x14ac:dyDescent="0.25">
      <c r="B16" s="22" t="s">
        <v>249</v>
      </c>
      <c r="D16" s="155">
        <f>+N12</f>
        <v>0.36056226343216052</v>
      </c>
    </row>
    <row r="17" spans="2:4" x14ac:dyDescent="0.25">
      <c r="B17" s="181" t="s">
        <v>250</v>
      </c>
      <c r="C17" s="30"/>
      <c r="D17" s="182">
        <f>+D12+D15*D14</f>
        <v>6.3752565577222448E-2</v>
      </c>
    </row>
    <row r="18" spans="2:4" x14ac:dyDescent="0.25">
      <c r="D18" s="1"/>
    </row>
    <row r="19" spans="2:4" x14ac:dyDescent="0.25">
      <c r="B19" s="58" t="s">
        <v>251</v>
      </c>
      <c r="C19" s="18"/>
      <c r="D19" s="172"/>
    </row>
    <row r="20" spans="2:4" x14ac:dyDescent="0.25">
      <c r="B20" s="22" t="s">
        <v>252</v>
      </c>
      <c r="D20" s="161">
        <v>0.21</v>
      </c>
    </row>
    <row r="21" spans="2:4" x14ac:dyDescent="0.25">
      <c r="B21" s="22" t="s">
        <v>253</v>
      </c>
      <c r="D21" s="155">
        <f>+MAX((D22-D12)/(D13-D12),0)</f>
        <v>0</v>
      </c>
    </row>
    <row r="22" spans="2:4" x14ac:dyDescent="0.25">
      <c r="B22" s="22" t="s">
        <v>254</v>
      </c>
      <c r="D22" s="161">
        <f>+Debt!C58/Debt!C57</f>
        <v>3.3388744440658431E-2</v>
      </c>
    </row>
    <row r="23" spans="2:4" x14ac:dyDescent="0.25">
      <c r="B23" s="181" t="s">
        <v>255</v>
      </c>
      <c r="C23" s="30"/>
      <c r="D23" s="183">
        <f>+D22*(1-D20)</f>
        <v>2.6377108108120162E-2</v>
      </c>
    </row>
    <row r="25" spans="2:4" x14ac:dyDescent="0.25">
      <c r="B25" s="45" t="s">
        <v>215</v>
      </c>
      <c r="C25" s="46"/>
      <c r="D25" s="184">
        <f>+D17*D7+D23*D6</f>
        <v>5.9793998848963609E-2</v>
      </c>
    </row>
    <row r="26" spans="2:4" x14ac:dyDescent="0.25">
      <c r="B26" t="s">
        <v>1287</v>
      </c>
      <c r="D26" s="161">
        <v>5.8900000000000001E-2</v>
      </c>
    </row>
    <row r="28" spans="2:4" x14ac:dyDescent="0.25">
      <c r="B28" s="22" t="e" vm="1">
        <v>#VALUE!</v>
      </c>
      <c r="D28" s="89" cm="1">
        <f t="array" aca="1" ref="D28" ca="1">+_FV(B28,"Beta")</f>
        <v>0.28689999999999999</v>
      </c>
    </row>
  </sheetData>
  <mergeCells count="2">
    <mergeCell ref="B2:D2"/>
    <mergeCell ref="F2:N2"/>
  </mergeCells>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S44"/>
  <sheetViews>
    <sheetView showGridLines="0" topLeftCell="B1" zoomScaleNormal="100" workbookViewId="0">
      <selection activeCell="H28" sqref="H28"/>
    </sheetView>
  </sheetViews>
  <sheetFormatPr defaultColWidth="8.7109375" defaultRowHeight="15" x14ac:dyDescent="0.25"/>
  <cols>
    <col min="2" max="2" width="42.42578125" customWidth="1"/>
    <col min="3" max="5" width="14.28515625" customWidth="1"/>
    <col min="6" max="6" width="16.7109375" customWidth="1"/>
    <col min="7" max="7" width="14.28515625" customWidth="1"/>
    <col min="8" max="17" width="16" customWidth="1"/>
    <col min="18" max="18" width="13.5703125" customWidth="1"/>
  </cols>
  <sheetData>
    <row r="2" spans="2:17" x14ac:dyDescent="0.25">
      <c r="C2" s="12">
        <v>2021</v>
      </c>
      <c r="D2" s="13">
        <v>2022</v>
      </c>
      <c r="E2" s="13">
        <v>2023</v>
      </c>
      <c r="F2" s="13">
        <v>2024</v>
      </c>
      <c r="G2" s="14">
        <v>2025</v>
      </c>
      <c r="H2" s="15">
        <v>2026</v>
      </c>
      <c r="I2" s="15">
        <v>2027</v>
      </c>
      <c r="J2" s="15">
        <v>2028</v>
      </c>
      <c r="K2" s="15">
        <v>2029</v>
      </c>
      <c r="L2" s="15">
        <v>2030</v>
      </c>
      <c r="M2" s="15">
        <v>2031</v>
      </c>
      <c r="N2" s="15">
        <v>2032</v>
      </c>
      <c r="O2" s="15">
        <v>2033</v>
      </c>
      <c r="P2" s="15">
        <v>2034</v>
      </c>
      <c r="Q2" s="185">
        <v>2035</v>
      </c>
    </row>
    <row r="3" spans="2:17" x14ac:dyDescent="0.25">
      <c r="B3" s="22" t="s">
        <v>256</v>
      </c>
      <c r="C3" s="86">
        <f>+IS!C27</f>
        <v>11109</v>
      </c>
      <c r="D3" s="86">
        <f>+IS!D27</f>
        <v>12600</v>
      </c>
      <c r="E3" s="86">
        <f>+IS!E27</f>
        <v>13336</v>
      </c>
      <c r="F3" s="86">
        <f>+IS!F27</f>
        <v>10647</v>
      </c>
      <c r="G3" s="86">
        <f>+IS!G27</f>
        <v>14315</v>
      </c>
      <c r="H3" s="86">
        <f>+IS!H27</f>
        <v>13944.619584681788</v>
      </c>
      <c r="I3" s="86">
        <f>+IS!I27</f>
        <v>14463.398892895257</v>
      </c>
      <c r="J3" s="86">
        <f>+IS!J27</f>
        <v>15330.193959106771</v>
      </c>
      <c r="K3" s="86">
        <f>+IS!K27</f>
        <v>16096.700251659135</v>
      </c>
      <c r="L3" s="86">
        <f>+IS!L27</f>
        <v>17106.99119870759</v>
      </c>
      <c r="M3" s="86">
        <f>+IS!M27</f>
        <v>18217.316610043446</v>
      </c>
      <c r="N3" s="86">
        <f>+IS!N27</f>
        <v>19395.654088376075</v>
      </c>
      <c r="O3" s="86">
        <f>+IS!O27</f>
        <v>20688.024291423</v>
      </c>
      <c r="P3" s="86">
        <f>+IS!P27</f>
        <v>21985.606618519989</v>
      </c>
      <c r="Q3" s="86">
        <f>+IS!Q27</f>
        <v>23394.528391387816</v>
      </c>
    </row>
    <row r="4" spans="2:17" x14ac:dyDescent="0.25">
      <c r="B4" s="22" t="str">
        <f>+Drivers!B54</f>
        <v>Mergers and Acquisitions</v>
      </c>
      <c r="C4" s="86">
        <f>+Drivers!C54*-1</f>
        <v>1173</v>
      </c>
      <c r="D4" s="86">
        <f>+Drivers!D54*-1</f>
        <v>-408</v>
      </c>
      <c r="E4" s="86">
        <f>+Drivers!E54*-1</f>
        <v>-836</v>
      </c>
      <c r="F4" s="86">
        <f>+Drivers!F54*-1</f>
        <v>-1377</v>
      </c>
      <c r="G4" s="86">
        <f>+Drivers!G54*-1</f>
        <v>654</v>
      </c>
      <c r="H4" s="86">
        <f>-Drivers!H58</f>
        <v>-158.80000000000001</v>
      </c>
      <c r="I4" s="86">
        <f>-Drivers!I58</f>
        <v>-158.80000000000001</v>
      </c>
      <c r="J4" s="86">
        <f>-Drivers!J58</f>
        <v>-158.80000000000001</v>
      </c>
      <c r="K4" s="86">
        <f>-Drivers!K58</f>
        <v>-158.80000000000001</v>
      </c>
      <c r="L4" s="86">
        <f>-Drivers!L58</f>
        <v>-158.80000000000001</v>
      </c>
      <c r="M4" s="86">
        <f>-Drivers!M58</f>
        <v>-158.80000000000001</v>
      </c>
      <c r="N4" s="86">
        <f>-Drivers!N58</f>
        <v>-158.80000000000001</v>
      </c>
      <c r="O4" s="86">
        <f>-Drivers!O58</f>
        <v>-158.80000000000001</v>
      </c>
      <c r="P4" s="86">
        <f>-Drivers!P58</f>
        <v>-158.80000000000001</v>
      </c>
      <c r="Q4" s="86">
        <f>-Drivers!Q58</f>
        <v>-158.80000000000001</v>
      </c>
    </row>
    <row r="5" spans="2:17" x14ac:dyDescent="0.25">
      <c r="B5" s="22" t="str">
        <f>+Drivers!B61</f>
        <v>Restructuring</v>
      </c>
      <c r="C5" s="86">
        <f>+Drivers!C61*-1</f>
        <v>-378</v>
      </c>
      <c r="D5" s="86">
        <f>+Drivers!D61*-1</f>
        <v>-117</v>
      </c>
      <c r="E5" s="86">
        <f>+Drivers!E61*-1</f>
        <v>-191</v>
      </c>
      <c r="F5" s="86">
        <f>+Drivers!F61*-1</f>
        <v>-133</v>
      </c>
      <c r="G5" s="86">
        <f>+Drivers!G61*-1</f>
        <v>-97</v>
      </c>
      <c r="H5" s="86">
        <f>+Drivers!H61*-1</f>
        <v>-134.5</v>
      </c>
      <c r="I5" s="86">
        <f>+Drivers!I61*-1</f>
        <v>-134.5</v>
      </c>
      <c r="J5" s="86">
        <f>+Drivers!J61*-1</f>
        <v>-134.5</v>
      </c>
      <c r="K5" s="86">
        <f>+Drivers!K61*-1</f>
        <v>-134.5</v>
      </c>
      <c r="L5" s="86">
        <f>+Drivers!L61*-1</f>
        <v>-134.5</v>
      </c>
      <c r="M5" s="86">
        <f>+Drivers!M61*-1</f>
        <v>-134.5</v>
      </c>
      <c r="N5" s="86">
        <f>+Drivers!N61*-1</f>
        <v>-134.5</v>
      </c>
      <c r="O5" s="86">
        <f>+Drivers!O61*-1</f>
        <v>-134.5</v>
      </c>
      <c r="P5" s="86">
        <f>+Drivers!P61*-1</f>
        <v>-134.5</v>
      </c>
      <c r="Q5" s="86">
        <f>+Drivers!Q61*-1</f>
        <v>-134.5</v>
      </c>
    </row>
    <row r="6" spans="2:17" x14ac:dyDescent="0.25">
      <c r="B6" s="22" t="s">
        <v>257</v>
      </c>
      <c r="C6" s="86">
        <f>+SUM(C3:C5)*(1-WACC!$D$20)</f>
        <v>9404.16</v>
      </c>
      <c r="D6" s="86">
        <f>+SUM(D3:D5)*(1-WACC!$D$20)</f>
        <v>9539.25</v>
      </c>
      <c r="E6" s="86">
        <f>+SUM(E3:E5)*(1-WACC!$D$20)</f>
        <v>9724.11</v>
      </c>
      <c r="F6" s="86">
        <f>+SUM(F3:F5)*(1-WACC!$D$20)</f>
        <v>7218.2300000000005</v>
      </c>
      <c r="G6" s="86">
        <f>+SUM(G3:G5)*(1-WACC!$D$20)</f>
        <v>11748.880000000001</v>
      </c>
      <c r="H6" s="86">
        <f>+SUM(H3:H5)*(1-WACC!$D$20)</f>
        <v>10784.542471898614</v>
      </c>
      <c r="I6" s="86">
        <f>+SUM(I3:I5)*(1-WACC!$D$20)</f>
        <v>11194.378125387253</v>
      </c>
      <c r="J6" s="86">
        <f>+SUM(J3:J5)*(1-WACC!$D$20)</f>
        <v>11879.146227694351</v>
      </c>
      <c r="K6" s="86">
        <f>+SUM(K3:K5)*(1-WACC!$D$20)</f>
        <v>12484.686198810718</v>
      </c>
      <c r="L6" s="86">
        <f>+SUM(L3:L5)*(1-WACC!$D$20)</f>
        <v>13282.816046978998</v>
      </c>
      <c r="M6" s="86">
        <f>+SUM(M3:M5)*(1-WACC!$D$20)</f>
        <v>14159.973121934323</v>
      </c>
      <c r="N6" s="86">
        <f>+SUM(N3:N5)*(1-WACC!$D$20)</f>
        <v>15090.859729817101</v>
      </c>
      <c r="O6" s="86">
        <f>+SUM(O3:O5)*(1-WACC!$D$20)</f>
        <v>16111.832190224171</v>
      </c>
      <c r="P6" s="86">
        <f>+SUM(P3:P5)*(1-WACC!$D$20)</f>
        <v>17136.922228630792</v>
      </c>
      <c r="Q6" s="86">
        <f>+SUM(Q3:Q5)*(1-WACC!$D$20)</f>
        <v>18249.970429196375</v>
      </c>
    </row>
    <row r="7" spans="2:17" x14ac:dyDescent="0.25">
      <c r="B7" s="22" t="str">
        <f>+IS!B24</f>
        <v>Depreciation &amp; Amortization</v>
      </c>
      <c r="C7" s="86"/>
      <c r="D7" s="86"/>
      <c r="E7" s="86"/>
      <c r="F7" s="86"/>
      <c r="G7" s="86"/>
      <c r="H7" s="86">
        <f>+IS!H24</f>
        <v>1142.2014744352775</v>
      </c>
      <c r="I7" s="86">
        <f>+IS!I24</f>
        <v>1246.5996866449141</v>
      </c>
      <c r="J7" s="86">
        <f>+IS!J24</f>
        <v>1314.0286589456914</v>
      </c>
      <c r="K7" s="86">
        <f>+IS!K24</f>
        <v>1564.5518290532018</v>
      </c>
      <c r="L7" s="86">
        <f>+IS!L24</f>
        <v>1655.826883388552</v>
      </c>
      <c r="M7" s="86">
        <f>+IS!M24</f>
        <v>1734.1218332644389</v>
      </c>
      <c r="N7" s="86">
        <f>+IS!N24</f>
        <v>1816.2367145092514</v>
      </c>
      <c r="O7" s="86">
        <f>+IS!O24</f>
        <v>1906.2284021531543</v>
      </c>
      <c r="P7" s="86">
        <f>+IS!P24</f>
        <v>1993.8555445228167</v>
      </c>
      <c r="Q7" s="86">
        <f>+IS!Q24</f>
        <v>2088.7034576948572</v>
      </c>
    </row>
    <row r="8" spans="2:17" x14ac:dyDescent="0.25">
      <c r="B8" s="22" t="str">
        <f>+CF!B21</f>
        <v>CapEx</v>
      </c>
      <c r="C8" s="86">
        <f>+CF!C21</f>
        <v>-1367</v>
      </c>
      <c r="D8" s="86">
        <f>+CF!D21</f>
        <v>-1484</v>
      </c>
      <c r="E8" s="86">
        <f>+CF!E21</f>
        <v>-1852</v>
      </c>
      <c r="F8" s="86">
        <f>+CF!F21</f>
        <v>-2064</v>
      </c>
      <c r="G8" s="86">
        <f>+CF!G21</f>
        <v>-2112</v>
      </c>
      <c r="H8" s="86">
        <f>+CF!H21</f>
        <v>-2103.0741073064946</v>
      </c>
      <c r="I8" s="86">
        <f>+CF!I21</f>
        <v>-2133.5794096774093</v>
      </c>
      <c r="J8" s="86">
        <f>+CF!J21</f>
        <v>-2241.7428761959213</v>
      </c>
      <c r="K8" s="86">
        <f>+CF!K21</f>
        <v>-2355.3241915474982</v>
      </c>
      <c r="L8" s="86">
        <f>+CF!L21</f>
        <v>-2463.8462081106918</v>
      </c>
      <c r="M8" s="86">
        <f>+CF!M21</f>
        <v>-2580.3479495072011</v>
      </c>
      <c r="N8" s="86">
        <f>+CF!N21</f>
        <v>-2702.5336929651512</v>
      </c>
      <c r="O8" s="86">
        <f>+CF!O21</f>
        <v>-2836.440009251769</v>
      </c>
      <c r="P8" s="86">
        <f>+CF!P21</f>
        <v>-2966.8279167202368</v>
      </c>
      <c r="Q8" s="86">
        <f>+CF!Q21</f>
        <v>-3107.9602256352309</v>
      </c>
    </row>
    <row r="9" spans="2:17" x14ac:dyDescent="0.25">
      <c r="B9" s="22" t="str">
        <f>+CF!B11</f>
        <v>ΔNWC</v>
      </c>
      <c r="C9" s="86">
        <f>+CF!C11</f>
        <v>1325</v>
      </c>
      <c r="D9" s="86">
        <f>+CF!D11</f>
        <v>-605</v>
      </c>
      <c r="E9" s="86">
        <f>+CF!E11</f>
        <v>-846</v>
      </c>
      <c r="F9" s="86">
        <f>+CF!F11</f>
        <v>-6234</v>
      </c>
      <c r="G9" s="86">
        <f>+CF!G11</f>
        <v>-7208</v>
      </c>
      <c r="H9" s="86">
        <f>+CF!H11</f>
        <v>-669.80548764349135</v>
      </c>
      <c r="I9" s="86">
        <f>+CF!I11</f>
        <v>105.72115099463252</v>
      </c>
      <c r="J9" s="86">
        <f>+CF!J11</f>
        <v>345.45330432763416</v>
      </c>
      <c r="K9" s="86">
        <f>+CF!K11</f>
        <v>357.32380260704531</v>
      </c>
      <c r="L9" s="86">
        <f>+CF!L11</f>
        <v>350.8885268072554</v>
      </c>
      <c r="M9" s="86">
        <f>+CF!M11</f>
        <v>377.58401818999744</v>
      </c>
      <c r="N9" s="86">
        <f>+CF!N11</f>
        <v>396.47568300395881</v>
      </c>
      <c r="O9" s="86">
        <f>+CF!O11</f>
        <v>434.54763883027636</v>
      </c>
      <c r="P9" s="86">
        <f>+CF!P11</f>
        <v>424.45100634306482</v>
      </c>
      <c r="Q9" s="86">
        <f>+CF!Q11</f>
        <v>459.59419106428038</v>
      </c>
    </row>
    <row r="10" spans="2:17" x14ac:dyDescent="0.25">
      <c r="B10" s="170" t="s">
        <v>258</v>
      </c>
      <c r="C10" s="186">
        <f t="shared" ref="C10:Q10" si="0">+SUM(C6:C9)</f>
        <v>9362.16</v>
      </c>
      <c r="D10" s="186">
        <f t="shared" si="0"/>
        <v>7450.25</v>
      </c>
      <c r="E10" s="186">
        <f t="shared" si="0"/>
        <v>7026.1100000000006</v>
      </c>
      <c r="F10" s="186">
        <f t="shared" si="0"/>
        <v>-1079.7699999999995</v>
      </c>
      <c r="G10" s="186">
        <f t="shared" si="0"/>
        <v>2428.880000000001</v>
      </c>
      <c r="H10" s="186">
        <f t="shared" si="0"/>
        <v>9153.864351383907</v>
      </c>
      <c r="I10" s="186">
        <f t="shared" si="0"/>
        <v>10413.11955334939</v>
      </c>
      <c r="J10" s="186">
        <f t="shared" si="0"/>
        <v>11296.885314771755</v>
      </c>
      <c r="K10" s="186">
        <f t="shared" si="0"/>
        <v>12051.237638923465</v>
      </c>
      <c r="L10" s="186">
        <f t="shared" si="0"/>
        <v>12825.685249064114</v>
      </c>
      <c r="M10" s="186">
        <f t="shared" si="0"/>
        <v>13691.331023881557</v>
      </c>
      <c r="N10" s="186">
        <f t="shared" si="0"/>
        <v>14601.038434365159</v>
      </c>
      <c r="O10" s="186">
        <f t="shared" si="0"/>
        <v>15616.168221955833</v>
      </c>
      <c r="P10" s="186">
        <f t="shared" si="0"/>
        <v>16588.400862776438</v>
      </c>
      <c r="Q10" s="186">
        <f t="shared" si="0"/>
        <v>17690.307852320282</v>
      </c>
    </row>
    <row r="12" spans="2:17" x14ac:dyDescent="0.25">
      <c r="B12" t="s">
        <v>93</v>
      </c>
      <c r="H12">
        <v>1</v>
      </c>
      <c r="I12">
        <v>2</v>
      </c>
      <c r="J12">
        <v>3</v>
      </c>
      <c r="K12">
        <v>4</v>
      </c>
      <c r="L12">
        <v>5</v>
      </c>
      <c r="M12">
        <v>6</v>
      </c>
      <c r="N12">
        <v>7</v>
      </c>
      <c r="O12">
        <v>8</v>
      </c>
      <c r="P12">
        <v>9</v>
      </c>
      <c r="Q12">
        <v>10</v>
      </c>
    </row>
    <row r="13" spans="2:17" x14ac:dyDescent="0.25">
      <c r="B13" t="s">
        <v>259</v>
      </c>
      <c r="H13" s="187">
        <f>1/(1+WACC!$D$25)^H12</f>
        <v>0.94357960234356353</v>
      </c>
      <c r="I13" s="187">
        <f>1/(1+WACC!$D$25)^I12</f>
        <v>0.89034246595883737</v>
      </c>
      <c r="J13" s="187">
        <f>1/(1+WACC!$D$25)^J12</f>
        <v>0.84010898997902761</v>
      </c>
      <c r="K13" s="187">
        <f>1/(1+WACC!$D$25)^K12</f>
        <v>0.79270970668966356</v>
      </c>
      <c r="L13" s="187">
        <f>1/(1+WACC!$D$25)^L12</f>
        <v>0.74798470981211551</v>
      </c>
      <c r="M13" s="187">
        <f>1/(1+WACC!$D$25)^M12</f>
        <v>0.70578311504358171</v>
      </c>
      <c r="N13" s="187">
        <f>1/(1+WACC!$D$25)^N12</f>
        <v>0.66596255103362445</v>
      </c>
      <c r="O13" s="187">
        <f>1/(1+WACC!$D$25)^O12</f>
        <v>0.62838867908001239</v>
      </c>
      <c r="P13" s="187">
        <f>1/(1+WACC!$D$25)^P12</f>
        <v>0.59293473992351531</v>
      </c>
      <c r="Q13" s="187">
        <f>1/(1+WACC!$D$25)^Q12</f>
        <v>0.55948112611271472</v>
      </c>
    </row>
    <row r="14" spans="2:17" x14ac:dyDescent="0.25">
      <c r="B14" t="s">
        <v>260</v>
      </c>
      <c r="H14" s="86">
        <f t="shared" ref="H14:Q14" si="1">+H13*H10</f>
        <v>8637.3996845857491</v>
      </c>
      <c r="I14" s="86">
        <f t="shared" si="1"/>
        <v>9271.2425414532827</v>
      </c>
      <c r="J14" s="86">
        <f t="shared" si="1"/>
        <v>9490.6149117018085</v>
      </c>
      <c r="K14" s="86">
        <f t="shared" si="1"/>
        <v>9553.1330539984538</v>
      </c>
      <c r="L14" s="86">
        <f t="shared" si="1"/>
        <v>9593.4164591627523</v>
      </c>
      <c r="M14" s="86">
        <f t="shared" si="1"/>
        <v>9663.1102591279559</v>
      </c>
      <c r="N14" s="86">
        <f t="shared" si="1"/>
        <v>9723.7448034898189</v>
      </c>
      <c r="O14" s="86">
        <f t="shared" si="1"/>
        <v>9813.0233212860912</v>
      </c>
      <c r="P14" s="86">
        <f t="shared" si="1"/>
        <v>9835.8391513173647</v>
      </c>
      <c r="Q14" s="86">
        <f t="shared" si="1"/>
        <v>9897.3933584967508</v>
      </c>
    </row>
    <row r="16" spans="2:17" x14ac:dyDescent="0.25">
      <c r="B16" s="188" t="s">
        <v>152</v>
      </c>
      <c r="C16" s="189">
        <f t="shared" ref="C16:Q16" si="2">+C3+C7</f>
        <v>11109</v>
      </c>
      <c r="D16" s="189">
        <f t="shared" si="2"/>
        <v>12600</v>
      </c>
      <c r="E16" s="189">
        <f t="shared" si="2"/>
        <v>13336</v>
      </c>
      <c r="F16" s="189">
        <f t="shared" si="2"/>
        <v>10647</v>
      </c>
      <c r="G16" s="189">
        <f t="shared" si="2"/>
        <v>14315</v>
      </c>
      <c r="H16" s="189">
        <f t="shared" si="2"/>
        <v>15086.821059117066</v>
      </c>
      <c r="I16" s="189">
        <f t="shared" si="2"/>
        <v>15709.99857954017</v>
      </c>
      <c r="J16" s="189">
        <f t="shared" si="2"/>
        <v>16644.222618052463</v>
      </c>
      <c r="K16" s="189">
        <f t="shared" si="2"/>
        <v>17661.252080712336</v>
      </c>
      <c r="L16" s="189">
        <f t="shared" si="2"/>
        <v>18762.818082096142</v>
      </c>
      <c r="M16" s="189">
        <f t="shared" si="2"/>
        <v>19951.438443307885</v>
      </c>
      <c r="N16" s="189">
        <f t="shared" si="2"/>
        <v>21211.890802885326</v>
      </c>
      <c r="O16" s="189">
        <f t="shared" si="2"/>
        <v>22594.252693576156</v>
      </c>
      <c r="P16" s="189">
        <f t="shared" si="2"/>
        <v>23979.462163042805</v>
      </c>
      <c r="Q16" s="190">
        <f t="shared" si="2"/>
        <v>25483.231849082673</v>
      </c>
    </row>
    <row r="18" spans="2:19" x14ac:dyDescent="0.25">
      <c r="B18" s="22" t="s">
        <v>261</v>
      </c>
      <c r="H18" s="86">
        <f>+-CF!H28</f>
        <v>7708.8867405593855</v>
      </c>
      <c r="I18" s="86">
        <f>+-CF!I28</f>
        <v>8001.3783806242891</v>
      </c>
      <c r="J18" s="86">
        <f>+-CF!J28</f>
        <v>8525.0346038415228</v>
      </c>
      <c r="K18" s="86">
        <f>+-CF!K28</f>
        <v>8980.0539727136711</v>
      </c>
      <c r="L18" s="86">
        <f>+-CF!L28</f>
        <v>9580.354951653273</v>
      </c>
      <c r="M18" s="86">
        <f>+-CF!M28</f>
        <v>10240.412493809314</v>
      </c>
      <c r="N18" s="86">
        <f>+-CF!N28</f>
        <v>10940.87537703329</v>
      </c>
      <c r="O18" s="86">
        <f>+-CF!O28</f>
        <v>11709.233871125651</v>
      </c>
      <c r="P18" s="86">
        <f>+-CF!P28</f>
        <v>12480.472553161368</v>
      </c>
      <c r="Q18" s="86">
        <f>+-CF!Q28</f>
        <v>13318.179807377015</v>
      </c>
    </row>
    <row r="19" spans="2:19" x14ac:dyDescent="0.25">
      <c r="B19" s="22" t="s">
        <v>262</v>
      </c>
      <c r="H19" s="86">
        <f>+-CF!H31</f>
        <v>0</v>
      </c>
      <c r="I19" s="86">
        <f>+-CF!I31</f>
        <v>2370.8756867087395</v>
      </c>
      <c r="J19" s="86">
        <f>+-CF!J31</f>
        <v>3077.4972221614207</v>
      </c>
      <c r="K19" s="86">
        <f>+-CF!K31</f>
        <v>3420.5248274906589</v>
      </c>
      <c r="L19" s="86">
        <f>+-CF!L31</f>
        <v>3637.2336097641146</v>
      </c>
      <c r="M19" s="86">
        <f>+-CF!M31</f>
        <v>3900.9955645471746</v>
      </c>
      <c r="N19" s="86">
        <f>+-CF!N31</f>
        <v>4169.4130844152296</v>
      </c>
      <c r="O19" s="86">
        <f>+-CF!O31</f>
        <v>4485.8128663348907</v>
      </c>
      <c r="P19" s="86">
        <f>+-CF!P31</f>
        <v>4743.0663591592893</v>
      </c>
      <c r="Q19" s="86">
        <f>+-CF!Q31</f>
        <v>5080.8886992004409</v>
      </c>
    </row>
    <row r="20" spans="2:19" x14ac:dyDescent="0.25">
      <c r="B20" s="39" t="s">
        <v>263</v>
      </c>
      <c r="C20" s="39"/>
      <c r="D20" s="39"/>
      <c r="E20" s="39"/>
      <c r="F20" s="39"/>
      <c r="G20" s="39"/>
      <c r="H20" s="125">
        <f t="shared" ref="H20:Q20" si="3">+H18+H19</f>
        <v>7708.8867405593855</v>
      </c>
      <c r="I20" s="125">
        <f t="shared" si="3"/>
        <v>10372.25406733303</v>
      </c>
      <c r="J20" s="125">
        <f t="shared" si="3"/>
        <v>11602.531826002943</v>
      </c>
      <c r="K20" s="125">
        <f t="shared" si="3"/>
        <v>12400.57880020433</v>
      </c>
      <c r="L20" s="125">
        <f t="shared" si="3"/>
        <v>13217.588561417388</v>
      </c>
      <c r="M20" s="125">
        <f t="shared" si="3"/>
        <v>14141.408058356488</v>
      </c>
      <c r="N20" s="125">
        <f t="shared" si="3"/>
        <v>15110.288461448519</v>
      </c>
      <c r="O20" s="125">
        <f t="shared" si="3"/>
        <v>16195.046737460541</v>
      </c>
      <c r="P20" s="125">
        <f t="shared" si="3"/>
        <v>17223.538912320655</v>
      </c>
      <c r="Q20" s="125">
        <f t="shared" si="3"/>
        <v>18399.068506577456</v>
      </c>
    </row>
    <row r="21" spans="2:19" x14ac:dyDescent="0.25">
      <c r="B21" s="22" t="s">
        <v>264</v>
      </c>
      <c r="H21" s="187">
        <f>1/(1+WACC!$D$17)^H12</f>
        <v>0.94006823800925132</v>
      </c>
      <c r="I21" s="187">
        <f>1/(1+WACC!$D$17)^I12</f>
        <v>0.88372829211381831</v>
      </c>
      <c r="J21" s="187">
        <f>1/(1+WACC!$D$17)^J12</f>
        <v>0.83076489844636214</v>
      </c>
      <c r="K21" s="187">
        <f>1/(1+WACC!$D$17)^K12</f>
        <v>0.78097569428240632</v>
      </c>
      <c r="L21" s="187">
        <f>1/(1+WACC!$D$17)^L12</f>
        <v>0.73417044485211336</v>
      </c>
      <c r="M21" s="187">
        <f>1/(1+WACC!$D$17)^M12</f>
        <v>0.69017031649059446</v>
      </c>
      <c r="N21" s="187">
        <f>1/(1+WACC!$D$17)^N12</f>
        <v>0.64880719334960035</v>
      </c>
      <c r="O21" s="187">
        <f>1/(1+WACC!$D$17)^O12</f>
        <v>0.60992303505988654</v>
      </c>
      <c r="P21" s="187">
        <f>1/(1+WACC!$D$17)^P12</f>
        <v>0.57336927289000228</v>
      </c>
      <c r="Q21" s="187">
        <f>1/(1+WACC!$D$17)^Q12</f>
        <v>0.53900624209435011</v>
      </c>
    </row>
    <row r="22" spans="2:19" x14ac:dyDescent="0.25">
      <c r="B22" s="145" t="s">
        <v>265</v>
      </c>
      <c r="C22" s="46"/>
      <c r="D22" s="46"/>
      <c r="E22" s="46"/>
      <c r="F22" s="46"/>
      <c r="G22" s="46"/>
      <c r="H22" s="143">
        <f t="shared" ref="H22:Q22" si="4">+H21*H20</f>
        <v>7246.8795752105425</v>
      </c>
      <c r="I22" s="143">
        <f t="shared" si="4"/>
        <v>9166.254372294823</v>
      </c>
      <c r="J22" s="143">
        <f t="shared" si="4"/>
        <v>9638.9761741500206</v>
      </c>
      <c r="K22" s="143">
        <f t="shared" si="4"/>
        <v>9684.5506379932649</v>
      </c>
      <c r="L22" s="143">
        <f t="shared" si="4"/>
        <v>9703.9628740080079</v>
      </c>
      <c r="M22" s="143">
        <f t="shared" si="4"/>
        <v>9759.9800752585397</v>
      </c>
      <c r="N22" s="143">
        <f t="shared" si="4"/>
        <v>9803.6638473752646</v>
      </c>
      <c r="O22" s="143">
        <f t="shared" si="4"/>
        <v>9877.732059048647</v>
      </c>
      <c r="P22" s="143">
        <f t="shared" si="4"/>
        <v>9875.4479827499545</v>
      </c>
      <c r="Q22" s="144">
        <f t="shared" si="4"/>
        <v>9917.2127737668216</v>
      </c>
    </row>
    <row r="26" spans="2:19" x14ac:dyDescent="0.25">
      <c r="B26" s="302" t="s">
        <v>266</v>
      </c>
      <c r="C26" s="302"/>
      <c r="D26" s="302"/>
      <c r="F26" s="302" t="s">
        <v>267</v>
      </c>
      <c r="G26" s="302"/>
      <c r="H26" s="302"/>
      <c r="J26" s="302" t="s">
        <v>268</v>
      </c>
      <c r="K26" s="302"/>
      <c r="L26" s="302"/>
      <c r="N26" s="302" t="s">
        <v>269</v>
      </c>
      <c r="O26" s="302"/>
      <c r="P26" s="302"/>
      <c r="R26" s="191" t="s">
        <v>270</v>
      </c>
      <c r="S26" s="192">
        <f ca="1">+$D$44</f>
        <v>92.71</v>
      </c>
    </row>
    <row r="27" spans="2:19" x14ac:dyDescent="0.25">
      <c r="B27" t="s">
        <v>271</v>
      </c>
      <c r="D27" s="86">
        <f>+SUM(H14:Q14)</f>
        <v>95478.917544620024</v>
      </c>
      <c r="F27" t="s">
        <v>272</v>
      </c>
      <c r="H27" s="86">
        <f>+Q16</f>
        <v>25483.231849082673</v>
      </c>
      <c r="J27" s="22" t="s">
        <v>273</v>
      </c>
      <c r="L27" s="86">
        <f>+Q6</f>
        <v>18249.970429196375</v>
      </c>
      <c r="N27" t="s">
        <v>274</v>
      </c>
      <c r="O27" s="193"/>
      <c r="P27" s="86">
        <f>+SUM(H22:Q22)</f>
        <v>94674.660371855891</v>
      </c>
      <c r="R27" s="194" t="s">
        <v>20</v>
      </c>
      <c r="S27" s="195">
        <f ca="1">+S28-S26</f>
        <v>-0.57480504018130318</v>
      </c>
    </row>
    <row r="28" spans="2:19" x14ac:dyDescent="0.25">
      <c r="B28" s="66" t="s">
        <v>275</v>
      </c>
      <c r="C28" s="30"/>
      <c r="D28" s="186">
        <f>+D27+H32</f>
        <v>380626.66258294345</v>
      </c>
      <c r="F28" s="18" t="s">
        <v>276</v>
      </c>
      <c r="G28" s="18"/>
      <c r="H28" s="196">
        <v>20</v>
      </c>
      <c r="J28" s="22" t="s">
        <v>277</v>
      </c>
      <c r="L28" s="197">
        <f>+L27/(BS!Q9+BS!Q10+BS!Q11-BS!Q24-BS!Q25-BS!Q26+BS!Q17)</f>
        <v>0.22600837756428496</v>
      </c>
      <c r="N28" s="18" t="s">
        <v>278</v>
      </c>
      <c r="O28" s="138"/>
      <c r="P28" s="198">
        <v>2.5000000000000001E-2</v>
      </c>
      <c r="R28" s="199" t="s">
        <v>279</v>
      </c>
      <c r="S28" s="200">
        <f>+D40</f>
        <v>92.135194959818691</v>
      </c>
    </row>
    <row r="29" spans="2:19" x14ac:dyDescent="0.25">
      <c r="B29" s="93" t="s">
        <v>280</v>
      </c>
      <c r="D29" s="141">
        <f>+D27+L35</f>
        <v>362999.21990044788</v>
      </c>
      <c r="F29" s="57" t="s">
        <v>281</v>
      </c>
      <c r="H29" s="86">
        <f>+H27*H28</f>
        <v>509664.63698165346</v>
      </c>
      <c r="J29" s="201" t="s">
        <v>282</v>
      </c>
      <c r="K29" s="18"/>
      <c r="L29" s="198">
        <v>2.5000000000000001E-2</v>
      </c>
      <c r="N29" t="s">
        <v>283</v>
      </c>
      <c r="P29" s="86">
        <f>+Q20*(1+P28)/(WACC!$D$17-P28)</f>
        <v>486652.81738989311</v>
      </c>
      <c r="R29" s="202"/>
      <c r="S29" s="202"/>
    </row>
    <row r="30" spans="2:19" x14ac:dyDescent="0.25">
      <c r="B30" s="93" t="s">
        <v>284</v>
      </c>
      <c r="D30" s="141">
        <f>+P27+P32</f>
        <v>356983.56667781016</v>
      </c>
      <c r="J30" s="22" t="s">
        <v>285</v>
      </c>
      <c r="L30" s="197">
        <f>+L29/L28</f>
        <v>0.11061536863999255</v>
      </c>
      <c r="O30" s="193"/>
      <c r="R30" s="191" t="s">
        <v>270</v>
      </c>
      <c r="S30" s="192">
        <f ca="1">+$D$44</f>
        <v>92.71</v>
      </c>
    </row>
    <row r="31" spans="2:19" x14ac:dyDescent="0.25">
      <c r="B31" s="203" t="s">
        <v>286</v>
      </c>
      <c r="C31" s="30"/>
      <c r="D31" s="204">
        <f>-(BS!G27+BS!G30+BS!G31+BS!G32)</f>
        <v>-49357</v>
      </c>
      <c r="F31" t="s">
        <v>259</v>
      </c>
      <c r="H31" s="187">
        <f>+Q13</f>
        <v>0.55948112611271472</v>
      </c>
      <c r="J31" s="22" t="s">
        <v>287</v>
      </c>
      <c r="L31" s="86">
        <f>+L27*(1+L29)*(1-L30)</f>
        <v>16637.024303064398</v>
      </c>
      <c r="N31" s="205" t="s">
        <v>264</v>
      </c>
      <c r="O31" s="193"/>
      <c r="P31" s="187">
        <f>+Q21</f>
        <v>0.53900624209435011</v>
      </c>
      <c r="R31" s="194" t="s">
        <v>20</v>
      </c>
      <c r="S31" s="195">
        <f ca="1">+S32-S30</f>
        <v>-4.6618541202869324</v>
      </c>
    </row>
    <row r="32" spans="2:19" x14ac:dyDescent="0.25">
      <c r="B32" s="108" t="s">
        <v>288</v>
      </c>
      <c r="D32" s="129">
        <f>-BS!G43</f>
        <v>-2106</v>
      </c>
      <c r="F32" s="53" t="s">
        <v>289</v>
      </c>
      <c r="G32" s="46"/>
      <c r="H32" s="144">
        <f>+H29*H31</f>
        <v>285147.74503832345</v>
      </c>
      <c r="J32" s="181" t="s">
        <v>281</v>
      </c>
      <c r="K32" s="30"/>
      <c r="L32" s="206">
        <f>+L31/(WACC!$D$25-L29)</f>
        <v>478157.8678347274</v>
      </c>
      <c r="N32" s="53" t="s">
        <v>289</v>
      </c>
      <c r="O32" s="189"/>
      <c r="P32" s="144">
        <f>+P31*P29</f>
        <v>262308.90630595427</v>
      </c>
      <c r="R32" s="199" t="s">
        <v>279</v>
      </c>
      <c r="S32" s="200">
        <f>+D41</f>
        <v>88.048145879713061</v>
      </c>
    </row>
    <row r="33" spans="2:19" x14ac:dyDescent="0.25">
      <c r="B33" s="108" t="s">
        <v>290</v>
      </c>
      <c r="D33" s="130">
        <f>+H36*H38</f>
        <v>52409.433278754557</v>
      </c>
      <c r="F33" s="57"/>
      <c r="G33" s="57"/>
      <c r="H33" s="141"/>
      <c r="J33" s="207"/>
      <c r="L33" s="86"/>
      <c r="N33" s="57"/>
      <c r="O33" s="86"/>
      <c r="P33" s="141"/>
      <c r="S33" s="86"/>
    </row>
    <row r="34" spans="2:19" x14ac:dyDescent="0.25">
      <c r="B34" s="108" t="s">
        <v>291</v>
      </c>
      <c r="D34" s="129">
        <f>+BS!G7+BS!G8</f>
        <v>15806</v>
      </c>
      <c r="J34" s="205" t="s">
        <v>264</v>
      </c>
      <c r="L34" s="187">
        <f>+Q13</f>
        <v>0.55948112611271472</v>
      </c>
      <c r="N34" s="57"/>
      <c r="O34" s="141"/>
      <c r="P34" s="141"/>
    </row>
    <row r="35" spans="2:19" x14ac:dyDescent="0.25">
      <c r="B35" s="208" t="s">
        <v>292</v>
      </c>
      <c r="C35" s="30"/>
      <c r="D35" s="186">
        <f>+SUM(D31:D34)+D28</f>
        <v>397379.09586169804</v>
      </c>
      <c r="F35" s="302" t="s">
        <v>293</v>
      </c>
      <c r="G35" s="302"/>
      <c r="H35" s="302"/>
      <c r="J35" s="53" t="s">
        <v>289</v>
      </c>
      <c r="K35" s="46"/>
      <c r="L35" s="144">
        <f>+L32*L34</f>
        <v>267520.30235582788</v>
      </c>
      <c r="R35" s="191" t="s">
        <v>270</v>
      </c>
      <c r="S35" s="192">
        <f ca="1">+$D$44</f>
        <v>92.71</v>
      </c>
    </row>
    <row r="36" spans="2:19" x14ac:dyDescent="0.25">
      <c r="B36" s="22" t="s">
        <v>294</v>
      </c>
      <c r="D36" s="141">
        <f>+D29+SUM(D31:D34)</f>
        <v>379751.65317920246</v>
      </c>
      <c r="F36" t="s">
        <v>295</v>
      </c>
      <c r="H36" s="209">
        <f>+'Balance Sheet'!G36</f>
        <v>20235</v>
      </c>
      <c r="R36" s="194" t="s">
        <v>20</v>
      </c>
      <c r="S36" s="195">
        <f ca="1">+S37-S35</f>
        <v>-9.9407983589589151</v>
      </c>
    </row>
    <row r="37" spans="2:19" x14ac:dyDescent="0.25">
      <c r="B37" s="22" t="s">
        <v>296</v>
      </c>
      <c r="D37" s="141">
        <f>+D30</f>
        <v>356983.56667781016</v>
      </c>
      <c r="F37" s="18" t="s">
        <v>297</v>
      </c>
      <c r="G37" s="18"/>
      <c r="H37" s="196">
        <v>1</v>
      </c>
      <c r="R37" s="199" t="s">
        <v>279</v>
      </c>
      <c r="S37" s="200">
        <f>+D42</f>
        <v>82.769201641041079</v>
      </c>
    </row>
    <row r="38" spans="2:19" x14ac:dyDescent="0.25">
      <c r="B38" s="210" t="s">
        <v>298</v>
      </c>
      <c r="C38" s="30"/>
      <c r="D38" s="211">
        <f>+IS!G58</f>
        <v>4313</v>
      </c>
      <c r="F38" s="57" t="s">
        <v>299</v>
      </c>
      <c r="H38" s="212">
        <f>+(-CR!G22/(WACC!$D$17-$L$29))/H36</f>
        <v>2.5900387091057353</v>
      </c>
    </row>
    <row r="40" spans="2:19" x14ac:dyDescent="0.25">
      <c r="B40" s="173" t="s">
        <v>300</v>
      </c>
      <c r="C40" s="170"/>
      <c r="D40" s="213">
        <f>+D35/$D$38</f>
        <v>92.135194959818691</v>
      </c>
    </row>
    <row r="41" spans="2:19" x14ac:dyDescent="0.25">
      <c r="B41" s="214" t="s">
        <v>301</v>
      </c>
      <c r="C41" s="57"/>
      <c r="D41" s="215">
        <f>+D36/$D$38</f>
        <v>88.048145879713061</v>
      </c>
    </row>
    <row r="42" spans="2:19" x14ac:dyDescent="0.25">
      <c r="B42" s="178" t="s">
        <v>302</v>
      </c>
      <c r="C42" s="18"/>
      <c r="D42" s="216">
        <f>+D37/$D$38</f>
        <v>82.769201641041079</v>
      </c>
    </row>
    <row r="44" spans="2:19" x14ac:dyDescent="0.25">
      <c r="B44" s="128" t="e" vm="1">
        <v>#VALUE!</v>
      </c>
      <c r="D44" s="129" cm="1">
        <f t="array" aca="1" ref="D44" ca="1">+_FV(B44,"Price")</f>
        <v>92.71</v>
      </c>
    </row>
  </sheetData>
  <mergeCells count="5">
    <mergeCell ref="B26:D26"/>
    <mergeCell ref="F26:H26"/>
    <mergeCell ref="J26:L26"/>
    <mergeCell ref="N26:P26"/>
    <mergeCell ref="F35:H35"/>
  </mergeCells>
  <pageMargins left="0.7" right="0.7" top="0.75" bottom="0.75" header="0.511811023622047" footer="0.511811023622047"/>
  <pageSetup paperSize="9" orientation="portrait" horizontalDpi="300" verticalDpi="30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40"/>
  <sheetViews>
    <sheetView zoomScale="120" zoomScaleNormal="120" workbookViewId="0">
      <selection activeCell="W26" sqref="W26"/>
    </sheetView>
  </sheetViews>
  <sheetFormatPr defaultColWidth="8.7109375" defaultRowHeight="15" x14ac:dyDescent="0.25"/>
  <sheetData>
    <row r="2" spans="2:14" x14ac:dyDescent="0.25">
      <c r="B2" s="315" t="s">
        <v>1281</v>
      </c>
      <c r="C2" s="316"/>
      <c r="D2" s="316"/>
      <c r="E2" s="316"/>
      <c r="F2" s="316"/>
      <c r="G2" s="316"/>
      <c r="H2" s="316"/>
      <c r="I2" s="316"/>
      <c r="J2" s="317"/>
    </row>
    <row r="4" spans="2:14" x14ac:dyDescent="0.25">
      <c r="D4" s="313" t="s">
        <v>1283</v>
      </c>
      <c r="E4" s="314"/>
      <c r="F4" s="314"/>
      <c r="G4" s="314"/>
      <c r="H4" s="314"/>
      <c r="I4" s="314"/>
      <c r="J4" s="314"/>
    </row>
    <row r="5" spans="2:14" x14ac:dyDescent="0.25">
      <c r="D5" s="254">
        <f t="shared" ref="D5:E5" si="0">+E5-1</f>
        <v>17</v>
      </c>
      <c r="E5" s="254">
        <f t="shared" si="0"/>
        <v>18</v>
      </c>
      <c r="F5" s="254">
        <f>+G5-1</f>
        <v>19</v>
      </c>
      <c r="G5" s="254">
        <f>+'DCF + DDM'!H28</f>
        <v>20</v>
      </c>
      <c r="H5" s="254">
        <f>+G5+1</f>
        <v>21</v>
      </c>
      <c r="I5" s="254">
        <f t="shared" ref="I5:J5" si="1">+H5+2</f>
        <v>23</v>
      </c>
      <c r="J5" s="254">
        <f t="shared" si="1"/>
        <v>25</v>
      </c>
    </row>
    <row r="6" spans="2:14" x14ac:dyDescent="0.25">
      <c r="B6" s="310" t="s">
        <v>215</v>
      </c>
      <c r="C6" s="255">
        <f>+C9+0.015</f>
        <v>7.4793998848963608E-2</v>
      </c>
      <c r="D6" s="268" cm="1">
        <f t="array" ref="D6">(SUMPRODUCT('DCF + DDM'!$H$10:$Q$10/(1+$C6)^'DCF + DDM'!$H$12:$Q$12)+'DCF + DDM'!$Q$16*D$5/(1+$C6)^'DCF + DDM'!$Q$12+SUM('DCF + DDM'!$D$31:$D$34))/'DCF + DDM'!$D$38</f>
        <v>73.193311881887539</v>
      </c>
      <c r="E6" s="269" cm="1">
        <f t="array" ref="E6">(SUMPRODUCT('DCF + DDM'!$H$10:$Q$10/(1+$C6)^'DCF + DDM'!$H$12:$Q$12)+'DCF + DDM'!$Q$16*E$5/(1+$C6)^'DCF + DDM'!$Q$12+SUM('DCF + DDM'!$D$31:$D$34))/'DCF + DDM'!$D$38</f>
        <v>76.065565060083316</v>
      </c>
      <c r="F6" s="269" cm="1">
        <f t="array" ref="F6">(SUMPRODUCT('DCF + DDM'!$H$10:$Q$10/(1+$C6)^'DCF + DDM'!$H$12:$Q$12)+'DCF + DDM'!$Q$16*F$5/(1+$C6)^'DCF + DDM'!$Q$12+SUM('DCF + DDM'!$D$31:$D$34))/'DCF + DDM'!$D$38</f>
        <v>78.937818238279092</v>
      </c>
      <c r="G6" s="269" cm="1">
        <f t="array" ref="G6">(SUMPRODUCT('DCF + DDM'!$H$10:$Q$10/(1+$C6)^'DCF + DDM'!$H$12:$Q$12)+'DCF + DDM'!$Q$16*G$5/(1+$C6)^'DCF + DDM'!$Q$12+SUM('DCF + DDM'!$D$31:$D$34))/'DCF + DDM'!$D$38</f>
        <v>81.810071416474869</v>
      </c>
      <c r="H6" s="269" cm="1">
        <f t="array" ref="H6">(SUMPRODUCT('DCF + DDM'!$H$10:$Q$10/(1+$C6)^'DCF + DDM'!$H$12:$Q$12)+'DCF + DDM'!$Q$16*H$5/(1+$C6)^'DCF + DDM'!$Q$12+SUM('DCF + DDM'!$D$31:$D$34))/'DCF + DDM'!$D$38</f>
        <v>84.682324594670661</v>
      </c>
      <c r="I6" s="269" cm="1">
        <f t="array" ref="I6">(SUMPRODUCT('DCF + DDM'!$H$10:$Q$10/(1+$C6)^'DCF + DDM'!$H$12:$Q$12)+'DCF + DDM'!$Q$16*I$5/(1+$C6)^'DCF + DDM'!$Q$12+SUM('DCF + DDM'!$D$31:$D$34))/'DCF + DDM'!$D$38</f>
        <v>90.426830951062215</v>
      </c>
      <c r="J6" s="270" cm="1">
        <f t="array" ref="J6">(SUMPRODUCT('DCF + DDM'!$H$10:$Q$10/(1+$C6)^'DCF + DDM'!$H$12:$Q$12)+'DCF + DDM'!$Q$16*J$5/(1+$C6)^'DCF + DDM'!$Q$12+SUM('DCF + DDM'!$D$31:$D$34))/'DCF + DDM'!$D$38</f>
        <v>96.171337307453769</v>
      </c>
    </row>
    <row r="7" spans="2:14" x14ac:dyDescent="0.25">
      <c r="B7" s="311"/>
      <c r="C7" s="256">
        <f>+C9+0.01</f>
        <v>6.9793998848963604E-2</v>
      </c>
      <c r="D7" s="271" cm="1">
        <f t="array" ref="D7">(SUMPRODUCT('DCF + DDM'!$H$10:$Q$10/(1+$C7)^'DCF + DDM'!$H$12:$Q$12)+'DCF + DDM'!$Q$16*D$5/(1+$C7)^'DCF + DDM'!$Q$12+SUM('DCF + DDM'!$D$31:$D$34))/'DCF + DDM'!$D$38</f>
        <v>76.055710280416761</v>
      </c>
      <c r="E7" s="272" cm="1">
        <f t="array" ref="E7">(SUMPRODUCT('DCF + DDM'!$H$10:$Q$10/(1+$C7)^'DCF + DDM'!$H$12:$Q$12)+'DCF + DDM'!$Q$16*E$5/(1+$C7)^'DCF + DDM'!$Q$12+SUM('DCF + DDM'!$D$31:$D$34))/'DCF + DDM'!$D$38</f>
        <v>79.065065637290303</v>
      </c>
      <c r="F7" s="272" cm="1">
        <f t="array" ref="F7">(SUMPRODUCT('DCF + DDM'!$H$10:$Q$10/(1+$C7)^'DCF + DDM'!$H$12:$Q$12)+'DCF + DDM'!$Q$16*F$5/(1+$C7)^'DCF + DDM'!$Q$12+SUM('DCF + DDM'!$D$31:$D$34))/'DCF + DDM'!$D$38</f>
        <v>82.074420994163887</v>
      </c>
      <c r="G7" s="272" cm="1">
        <f t="array" ref="G7">(SUMPRODUCT('DCF + DDM'!$H$10:$Q$10/(1+$C7)^'DCF + DDM'!$H$12:$Q$12)+'DCF + DDM'!$Q$16*G$5/(1+$C7)^'DCF + DDM'!$Q$12+SUM('DCF + DDM'!$D$31:$D$34))/'DCF + DDM'!$D$38</f>
        <v>85.083776351037429</v>
      </c>
      <c r="H7" s="272" cm="1">
        <f t="array" ref="H7">(SUMPRODUCT('DCF + DDM'!$H$10:$Q$10/(1+$C7)^'DCF + DDM'!$H$12:$Q$12)+'DCF + DDM'!$Q$16*H$5/(1+$C7)^'DCF + DDM'!$Q$12+SUM('DCF + DDM'!$D$31:$D$34))/'DCF + DDM'!$D$38</f>
        <v>88.09313170791097</v>
      </c>
      <c r="I7" s="272" cm="1">
        <f t="array" ref="I7">(SUMPRODUCT('DCF + DDM'!$H$10:$Q$10/(1+$C7)^'DCF + DDM'!$H$12:$Q$12)+'DCF + DDM'!$Q$16*I$5/(1+$C7)^'DCF + DDM'!$Q$12+SUM('DCF + DDM'!$D$31:$D$34))/'DCF + DDM'!$D$38</f>
        <v>94.111842421658082</v>
      </c>
      <c r="J7" s="273" cm="1">
        <f t="array" ref="J7">(SUMPRODUCT('DCF + DDM'!$H$10:$Q$10/(1+$C7)^'DCF + DDM'!$H$12:$Q$12)+'DCF + DDM'!$Q$16*J$5/(1+$C7)^'DCF + DDM'!$Q$12+SUM('DCF + DDM'!$D$31:$D$34))/'DCF + DDM'!$D$38</f>
        <v>100.13055313540518</v>
      </c>
    </row>
    <row r="8" spans="2:14" x14ac:dyDescent="0.25">
      <c r="B8" s="311"/>
      <c r="C8" s="256">
        <f>+C9+0.005</f>
        <v>6.4793998848963613E-2</v>
      </c>
      <c r="D8" s="271" cm="1">
        <f t="array" ref="D8">(SUMPRODUCT('DCF + DDM'!$H$10:$Q$10/(1+$C8)^'DCF + DDM'!$H$12:$Q$12)+'DCF + DDM'!$Q$16*D$5/(1+$C8)^'DCF + DDM'!$Q$12+SUM('DCF + DDM'!$D$31:$D$34))/'DCF + DDM'!$D$38</f>
        <v>79.061308186229411</v>
      </c>
      <c r="E8" s="272" cm="1">
        <f t="array" ref="E8">(SUMPRODUCT('DCF + DDM'!$H$10:$Q$10/(1+$C8)^'DCF + DDM'!$H$12:$Q$12)+'DCF + DDM'!$Q$16*E$5/(1+$C8)^'DCF + DDM'!$Q$12+SUM('DCF + DDM'!$D$31:$D$34))/'DCF + DDM'!$D$38</f>
        <v>82.21499890030428</v>
      </c>
      <c r="F8" s="260" cm="1">
        <f t="array" ref="F8">(SUMPRODUCT('DCF + DDM'!$H$10:$Q$10/(1+$C8)^'DCF + DDM'!$H$12:$Q$12)+'DCF + DDM'!$Q$16*F$5/(1+$C8)^'DCF + DDM'!$Q$12+SUM('DCF + DDM'!$D$31:$D$34))/'DCF + DDM'!$D$38</f>
        <v>85.36868961437915</v>
      </c>
      <c r="G8" s="258" cm="1">
        <f t="array" ref="G8">(SUMPRODUCT('DCF + DDM'!$H$10:$Q$10/(1+$C8)^'DCF + DDM'!$H$12:$Q$12)+'DCF + DDM'!$Q$16*G$5/(1+$C8)^'DCF + DDM'!$Q$12+SUM('DCF + DDM'!$D$31:$D$34))/'DCF + DDM'!$D$38</f>
        <v>88.522380328454034</v>
      </c>
      <c r="H8" s="261" cm="1">
        <f t="array" ref="H8">(SUMPRODUCT('DCF + DDM'!$H$10:$Q$10/(1+$C8)^'DCF + DDM'!$H$12:$Q$12)+'DCF + DDM'!$Q$16*H$5/(1+$C8)^'DCF + DDM'!$Q$12+SUM('DCF + DDM'!$D$31:$D$34))/'DCF + DDM'!$D$38</f>
        <v>91.676071042528932</v>
      </c>
      <c r="I8" s="272" cm="1">
        <f t="array" ref="I8">(SUMPRODUCT('DCF + DDM'!$H$10:$Q$10/(1+$C8)^'DCF + DDM'!$H$12:$Q$12)+'DCF + DDM'!$Q$16*I$5/(1+$C8)^'DCF + DDM'!$Q$12+SUM('DCF + DDM'!$D$31:$D$34))/'DCF + DDM'!$D$38</f>
        <v>97.983452470678685</v>
      </c>
      <c r="J8" s="273" cm="1">
        <f t="array" ref="J8">(SUMPRODUCT('DCF + DDM'!$H$10:$Q$10/(1+$C8)^'DCF + DDM'!$H$12:$Q$12)+'DCF + DDM'!$Q$16*J$5/(1+$C8)^'DCF + DDM'!$Q$12+SUM('DCF + DDM'!$D$31:$D$34))/'DCF + DDM'!$D$38</f>
        <v>104.29083389882844</v>
      </c>
    </row>
    <row r="9" spans="2:14" x14ac:dyDescent="0.25">
      <c r="B9" s="311"/>
      <c r="C9" s="256">
        <f>+WACC!$D$25</f>
        <v>5.9793998848963609E-2</v>
      </c>
      <c r="D9" s="271" cm="1">
        <f t="array" ref="D9">(SUMPRODUCT('DCF + DDM'!$H$10:$Q$10/(1+$C9)^'DCF + DDM'!$H$12:$Q$12)+'DCF + DDM'!$Q$16*D$5/(1+$C9)^'DCF + DDM'!$Q$12+SUM('DCF + DDM'!$D$31:$D$34))/'DCF + DDM'!$D$38</f>
        <v>82.218162324588334</v>
      </c>
      <c r="E9" s="272" cm="1">
        <f t="array" ref="E9">(SUMPRODUCT('DCF + DDM'!$H$10:$Q$10/(1+$C9)^'DCF + DDM'!$H$12:$Q$12)+'DCF + DDM'!$Q$16*E$5/(1+$C9)^'DCF + DDM'!$Q$12+SUM('DCF + DDM'!$D$31:$D$34))/'DCF + DDM'!$D$38</f>
        <v>85.523839869665125</v>
      </c>
      <c r="F9" s="259" cm="1">
        <f t="array" ref="F9">(SUMPRODUCT('DCF + DDM'!$H$10:$Q$10/(1+$C9)^'DCF + DDM'!$H$12:$Q$12)+'DCF + DDM'!$Q$16*F$5/(1+$C9)^'DCF + DDM'!$Q$12+SUM('DCF + DDM'!$D$31:$D$34))/'DCF + DDM'!$D$38</f>
        <v>88.8295174147419</v>
      </c>
      <c r="G9" s="266" cm="1">
        <f t="array" ref="G9">(SUMPRODUCT('DCF + DDM'!$H$10:$Q$10/(1+$C9)^'DCF + DDM'!$H$12:$Q$12)+'DCF + DDM'!$Q$16*G$5/(1+$C9)^'DCF + DDM'!$Q$12+SUM('DCF + DDM'!$D$31:$D$34))/'DCF + DDM'!$D$38</f>
        <v>92.135194959818691</v>
      </c>
      <c r="H9" s="262" cm="1">
        <f t="array" ref="H9">(SUMPRODUCT('DCF + DDM'!$H$10:$Q$10/(1+$C9)^'DCF + DDM'!$H$12:$Q$12)+'DCF + DDM'!$Q$16*H$5/(1+$C9)^'DCF + DDM'!$Q$12+SUM('DCF + DDM'!$D$31:$D$34))/'DCF + DDM'!$D$38</f>
        <v>95.440872504895495</v>
      </c>
      <c r="I9" s="272" cm="1">
        <f t="array" ref="I9">(SUMPRODUCT('DCF + DDM'!$H$10:$Q$10/(1+$C9)^'DCF + DDM'!$H$12:$Q$12)+'DCF + DDM'!$Q$16*I$5/(1+$C9)^'DCF + DDM'!$Q$12+SUM('DCF + DDM'!$D$31:$D$34))/'DCF + DDM'!$D$38</f>
        <v>102.05222759504906</v>
      </c>
      <c r="J9" s="273" cm="1">
        <f t="array" ref="J9">(SUMPRODUCT('DCF + DDM'!$H$10:$Q$10/(1+$C9)^'DCF + DDM'!$H$12:$Q$12)+'DCF + DDM'!$Q$16*J$5/(1+$C9)^'DCF + DDM'!$Q$12+SUM('DCF + DDM'!$D$31:$D$34))/'DCF + DDM'!$D$38</f>
        <v>108.66358268520263</v>
      </c>
    </row>
    <row r="10" spans="2:14" x14ac:dyDescent="0.25">
      <c r="B10" s="311"/>
      <c r="C10" s="256">
        <f>+C9-0.005</f>
        <v>5.4793998848963611E-2</v>
      </c>
      <c r="D10" s="271" cm="1">
        <f t="array" ref="D10">(SUMPRODUCT('DCF + DDM'!$H$10:$Q$10/(1+$C10)^'DCF + DDM'!$H$12:$Q$12)+'DCF + DDM'!$Q$16*D$5/(1+$C10)^'DCF + DDM'!$Q$12+SUM('DCF + DDM'!$D$31:$D$34))/'DCF + DDM'!$D$38</f>
        <v>85.534828169229669</v>
      </c>
      <c r="E10" s="272" cm="1">
        <f t="array" ref="E10">(SUMPRODUCT('DCF + DDM'!$H$10:$Q$10/(1+$C10)^'DCF + DDM'!$H$12:$Q$12)+'DCF + DDM'!$Q$16*E$5/(1+$C10)^'DCF + DDM'!$Q$12+SUM('DCF + DDM'!$D$31:$D$34))/'DCF + DDM'!$D$38</f>
        <v>89.000588646711122</v>
      </c>
      <c r="F10" s="263" cm="1">
        <f t="array" ref="F10">(SUMPRODUCT('DCF + DDM'!$H$10:$Q$10/(1+$C10)^'DCF + DDM'!$H$12:$Q$12)+'DCF + DDM'!$Q$16*F$5/(1+$C10)^'DCF + DDM'!$Q$12+SUM('DCF + DDM'!$D$31:$D$34))/'DCF + DDM'!$D$38</f>
        <v>92.466349124192547</v>
      </c>
      <c r="G10" s="264" cm="1">
        <f t="array" ref="G10">(SUMPRODUCT('DCF + DDM'!$H$10:$Q$10/(1+$C10)^'DCF + DDM'!$H$12:$Q$12)+'DCF + DDM'!$Q$16*G$5/(1+$C10)^'DCF + DDM'!$Q$12+SUM('DCF + DDM'!$D$31:$D$34))/'DCF + DDM'!$D$38</f>
        <v>95.932109601674</v>
      </c>
      <c r="H10" s="265" cm="1">
        <f t="array" ref="H10">(SUMPRODUCT('DCF + DDM'!$H$10:$Q$10/(1+$C10)^'DCF + DDM'!$H$12:$Q$12)+'DCF + DDM'!$Q$16*H$5/(1+$C10)^'DCF + DDM'!$Q$12+SUM('DCF + DDM'!$D$31:$D$34))/'DCF + DDM'!$D$38</f>
        <v>99.39787007915541</v>
      </c>
      <c r="I10" s="272" cm="1">
        <f t="array" ref="I10">(SUMPRODUCT('DCF + DDM'!$H$10:$Q$10/(1+$C10)^'DCF + DDM'!$H$12:$Q$12)+'DCF + DDM'!$Q$16*I$5/(1+$C10)^'DCF + DDM'!$Q$12+SUM('DCF + DDM'!$D$31:$D$34))/'DCF + DDM'!$D$38</f>
        <v>106.32939103411829</v>
      </c>
      <c r="J10" s="273" cm="1">
        <f t="array" ref="J10">(SUMPRODUCT('DCF + DDM'!$H$10:$Q$10/(1+$C10)^'DCF + DDM'!$H$12:$Q$12)+'DCF + DDM'!$Q$16*J$5/(1+$C10)^'DCF + DDM'!$Q$12+SUM('DCF + DDM'!$D$31:$D$34))/'DCF + DDM'!$D$38</f>
        <v>113.26091198908117</v>
      </c>
    </row>
    <row r="11" spans="2:14" x14ac:dyDescent="0.25">
      <c r="B11" s="311"/>
      <c r="C11" s="255">
        <f>+C9-0.01</f>
        <v>4.9793998848963607E-2</v>
      </c>
      <c r="D11" s="271" cm="1">
        <f t="array" ref="D11">(SUMPRODUCT('DCF + DDM'!$H$10:$Q$10/(1+$C11)^'DCF + DDM'!$H$12:$Q$12)+'DCF + DDM'!$Q$16*D$5/(1+$C11)^'DCF + DDM'!$Q$12+SUM('DCF + DDM'!$D$31:$D$34))/'DCF + DDM'!$D$38</f>
        <v>89.020393536972065</v>
      </c>
      <c r="E11" s="272" cm="1">
        <f t="array" ref="E11">(SUMPRODUCT('DCF + DDM'!$H$10:$Q$10/(1+$C11)^'DCF + DDM'!$H$12:$Q$12)+'DCF + DDM'!$Q$16*E$5/(1+$C11)^'DCF + DDM'!$Q$12+SUM('DCF + DDM'!$D$31:$D$34))/'DCF + DDM'!$D$38</f>
        <v>92.654805802015346</v>
      </c>
      <c r="F11" s="272" cm="1">
        <f t="array" ref="F11">(SUMPRODUCT('DCF + DDM'!$H$10:$Q$10/(1+$C11)^'DCF + DDM'!$H$12:$Q$12)+'DCF + DDM'!$Q$16*F$5/(1+$C11)^'DCF + DDM'!$Q$12+SUM('DCF + DDM'!$D$31:$D$34))/'DCF + DDM'!$D$38</f>
        <v>96.289218067058613</v>
      </c>
      <c r="G11" s="272" cm="1">
        <f t="array" ref="G11">(SUMPRODUCT('DCF + DDM'!$H$10:$Q$10/(1+$C11)^'DCF + DDM'!$H$12:$Q$12)+'DCF + DDM'!$Q$16*G$5/(1+$C11)^'DCF + DDM'!$Q$12+SUM('DCF + DDM'!$D$31:$D$34))/'DCF + DDM'!$D$38</f>
        <v>99.923630332101894</v>
      </c>
      <c r="H11" s="272" cm="1">
        <f t="array" ref="H11">(SUMPRODUCT('DCF + DDM'!$H$10:$Q$10/(1+$C11)^'DCF + DDM'!$H$12:$Q$12)+'DCF + DDM'!$Q$16*H$5/(1+$C11)^'DCF + DDM'!$Q$12+SUM('DCF + DDM'!$D$31:$D$34))/'DCF + DDM'!$D$38</f>
        <v>103.55804259714517</v>
      </c>
      <c r="I11" s="272" cm="1">
        <f t="array" ref="I11">(SUMPRODUCT('DCF + DDM'!$H$10:$Q$10/(1+$C11)^'DCF + DDM'!$H$12:$Q$12)+'DCF + DDM'!$Q$16*I$5/(1+$C11)^'DCF + DDM'!$Q$12+SUM('DCF + DDM'!$D$31:$D$34))/'DCF + DDM'!$D$38</f>
        <v>110.82686712723175</v>
      </c>
      <c r="J11" s="273" cm="1">
        <f t="array" ref="J11">(SUMPRODUCT('DCF + DDM'!$H$10:$Q$10/(1+$C11)^'DCF + DDM'!$H$12:$Q$12)+'DCF + DDM'!$Q$16*J$5/(1+$C11)^'DCF + DDM'!$Q$12+SUM('DCF + DDM'!$D$31:$D$34))/'DCF + DDM'!$D$38</f>
        <v>118.0956916573183</v>
      </c>
      <c r="N11" s="253"/>
    </row>
    <row r="12" spans="2:14" x14ac:dyDescent="0.25">
      <c r="B12" s="312"/>
      <c r="C12" s="255">
        <f>+C9-0.015</f>
        <v>4.4793998848963609E-2</v>
      </c>
      <c r="D12" s="274" cm="1">
        <f t="array" ref="D12">(SUMPRODUCT('DCF + DDM'!$H$10:$Q$10/(1+$C12)^'DCF + DDM'!$H$12:$Q$12)+'DCF + DDM'!$Q$16*D$5/(1+$C12)^'DCF + DDM'!$Q$12+SUM('DCF + DDM'!$D$31:$D$34))/'DCF + DDM'!$D$38</f>
        <v>92.684514626373385</v>
      </c>
      <c r="E12" s="275" cm="1">
        <f t="array" ref="E12">(SUMPRODUCT('DCF + DDM'!$H$10:$Q$10/(1+$C12)^'DCF + DDM'!$H$12:$Q$12)+'DCF + DDM'!$Q$16*E$5/(1+$C12)^'DCF + DDM'!$Q$12+SUM('DCF + DDM'!$D$31:$D$34))/'DCF + DDM'!$D$38</f>
        <v>96.49665033943613</v>
      </c>
      <c r="F12" s="275" cm="1">
        <f t="array" ref="F12">(SUMPRODUCT('DCF + DDM'!$H$10:$Q$10/(1+$C12)^'DCF + DDM'!$H$12:$Q$12)+'DCF + DDM'!$Q$16*F$5/(1+$C12)^'DCF + DDM'!$Q$12+SUM('DCF + DDM'!$D$31:$D$34))/'DCF + DDM'!$D$38</f>
        <v>100.30878605249889</v>
      </c>
      <c r="G12" s="275" cm="1">
        <f t="array" ref="G12">(SUMPRODUCT('DCF + DDM'!$H$10:$Q$10/(1+$C12)^'DCF + DDM'!$H$12:$Q$12)+'DCF + DDM'!$Q$16*G$5/(1+$C12)^'DCF + DDM'!$Q$12+SUM('DCF + DDM'!$D$31:$D$34))/'DCF + DDM'!$D$38</f>
        <v>104.12092176556162</v>
      </c>
      <c r="H12" s="275" cm="1">
        <f t="array" ref="H12">(SUMPRODUCT('DCF + DDM'!$H$10:$Q$10/(1+$C12)^'DCF + DDM'!$H$12:$Q$12)+'DCF + DDM'!$Q$16*H$5/(1+$C12)^'DCF + DDM'!$Q$12+SUM('DCF + DDM'!$D$31:$D$34))/'DCF + DDM'!$D$38</f>
        <v>107.93305747862438</v>
      </c>
      <c r="I12" s="275" cm="1">
        <f t="array" ref="I12">(SUMPRODUCT('DCF + DDM'!$H$10:$Q$10/(1+$C12)^'DCF + DDM'!$H$12:$Q$12)+'DCF + DDM'!$Q$16*I$5/(1+$C12)^'DCF + DDM'!$Q$12+SUM('DCF + DDM'!$D$31:$D$34))/'DCF + DDM'!$D$38</f>
        <v>115.55732890474988</v>
      </c>
      <c r="J12" s="276" cm="1">
        <f t="array" ref="J12">(SUMPRODUCT('DCF + DDM'!$H$10:$Q$10/(1+$C12)^'DCF + DDM'!$H$12:$Q$12)+'DCF + DDM'!$Q$16*J$5/(1+$C12)^'DCF + DDM'!$Q$12+SUM('DCF + DDM'!$D$31:$D$34))/'DCF + DDM'!$D$38</f>
        <v>123.18160033087537</v>
      </c>
    </row>
    <row r="16" spans="2:14" x14ac:dyDescent="0.25">
      <c r="B16" s="315" t="s">
        <v>1282</v>
      </c>
      <c r="C16" s="316"/>
      <c r="D16" s="316"/>
      <c r="E16" s="316"/>
      <c r="F16" s="316"/>
      <c r="G16" s="316"/>
      <c r="H16" s="316"/>
      <c r="I16" s="316"/>
      <c r="J16" s="317"/>
    </row>
    <row r="18" spans="2:13" x14ac:dyDescent="0.25">
      <c r="D18" s="315" t="s">
        <v>1284</v>
      </c>
      <c r="E18" s="316"/>
      <c r="F18" s="316"/>
      <c r="G18" s="316"/>
      <c r="H18" s="316"/>
      <c r="I18" s="316"/>
      <c r="J18" s="317"/>
    </row>
    <row r="19" spans="2:13" x14ac:dyDescent="0.25">
      <c r="D19" s="257">
        <f t="shared" ref="D19:E19" si="2">+E19-0.0025</f>
        <v>1.7500000000000005E-2</v>
      </c>
      <c r="E19" s="257">
        <f t="shared" si="2"/>
        <v>2.0000000000000004E-2</v>
      </c>
      <c r="F19" s="257">
        <f>+G19-0.0025</f>
        <v>2.2500000000000003E-2</v>
      </c>
      <c r="G19" s="257">
        <f>+'DCF + DDM'!L29</f>
        <v>2.5000000000000001E-2</v>
      </c>
      <c r="H19" s="257">
        <f>+G19+0.0025</f>
        <v>2.75E-2</v>
      </c>
      <c r="I19" s="257">
        <f t="shared" ref="I19:J19" si="3">+H19+0.0025</f>
        <v>0.03</v>
      </c>
      <c r="J19" s="257">
        <f t="shared" si="3"/>
        <v>3.2500000000000001E-2</v>
      </c>
    </row>
    <row r="20" spans="2:13" x14ac:dyDescent="0.25">
      <c r="B20" s="310" t="s">
        <v>215</v>
      </c>
      <c r="C20" s="255">
        <f>+C23+0.015</f>
        <v>7.4793998848963608E-2</v>
      </c>
      <c r="D20" s="268" cm="1">
        <f t="array" ref="D20">(SUMPRODUCT('DCF + DDM'!$H$10:$Q$10/(1+$C20)^'DCF + DDM'!$H$12:$Q$12)+'DCF + DDM'!$L$27*(1+D$19)*(1-D$19/'DCF + DDM'!$L$28)/($C20-D$19)/(1+$C20)^'DCF + DDM'!$Q$12+SUM('DCF + DDM'!$D$31:$D$34))/'DCF + DDM'!$D$38</f>
        <v>58.066927009332609</v>
      </c>
      <c r="E20" s="269" cm="1">
        <f t="array" ref="E20">(SUMPRODUCT('DCF + DDM'!$H$10:$Q$10/(1+$C20)^'DCF + DDM'!$H$12:$Q$12)+'DCF + DDM'!$L$27*(1+E$19)*(1-E$19/'DCF + DDM'!$L$28)/($C20-E$19)/(1+$C20)^'DCF + DDM'!$Q$12+SUM('DCF + DDM'!$D$31:$D$34))/'DCF + DDM'!$D$38</f>
        <v>59.267617322625561</v>
      </c>
      <c r="F20" s="269" cm="1">
        <f t="array" ref="F20">(SUMPRODUCT('DCF + DDM'!$H$10:$Q$10/(1+$C20)^'DCF + DDM'!$H$12:$Q$12)+'DCF + DDM'!$L$27*(1+F$19)*(1-F$19/'DCF + DDM'!$L$28)/($C20-F$19)/(1+$C20)^'DCF + DDM'!$Q$12+SUM('DCF + DDM'!$D$31:$D$34))/'DCF + DDM'!$D$38</f>
        <v>60.580934033107788</v>
      </c>
      <c r="G20" s="269" cm="1">
        <f t="array" ref="G20">(SUMPRODUCT('DCF + DDM'!$H$10:$Q$10/(1+$C20)^'DCF + DDM'!$H$12:$Q$12)+'DCF + DDM'!$L$27*(1+G$19)*(1-G$19/'DCF + DDM'!$L$28)/($C20-G$19)/(1+$C20)^'DCF + DDM'!$Q$12+SUM('DCF + DDM'!$D$31:$D$34))/'DCF + DDM'!$D$38</f>
        <v>62.023840991814431</v>
      </c>
      <c r="H20" s="269" cm="1">
        <f t="array" ref="H20">(SUMPRODUCT('DCF + DDM'!$H$10:$Q$10/(1+$C20)^'DCF + DDM'!$H$12:$Q$12)+'DCF + DDM'!$L$27*(1+H$19)*(1-H$19/'DCF + DDM'!$L$28)/($C20-H$19)/(1+$C20)^'DCF + DDM'!$Q$12+SUM('DCF + DDM'!$D$31:$D$34))/'DCF + DDM'!$D$38</f>
        <v>63.61688894271596</v>
      </c>
      <c r="I20" s="269" cm="1">
        <f t="array" ref="I20">(SUMPRODUCT('DCF + DDM'!$H$10:$Q$10/(1+$C20)^'DCF + DDM'!$H$12:$Q$12)+'DCF + DDM'!$L$27*(1+I$19)*(1-I$19/'DCF + DDM'!$L$28)/($C20-I$19)/(1+$C20)^'DCF + DDM'!$Q$12+SUM('DCF + DDM'!$D$31:$D$34))/'DCF + DDM'!$D$38</f>
        <v>65.385216463979049</v>
      </c>
      <c r="J20" s="270" cm="1">
        <f t="array" ref="J20">(SUMPRODUCT('DCF + DDM'!$H$10:$Q$10/(1+$C20)^'DCF + DDM'!$H$12:$Q$12)+'DCF + DDM'!$L$27*(1+J$19)*(1-J$19/'DCF + DDM'!$L$28)/($C20-J$19)/(1+$C20)^'DCF + DDM'!$Q$12+SUM('DCF + DDM'!$D$31:$D$34))/'DCF + DDM'!$D$38</f>
        <v>67.359905903300429</v>
      </c>
    </row>
    <row r="21" spans="2:13" x14ac:dyDescent="0.25">
      <c r="B21" s="311"/>
      <c r="C21" s="256">
        <f>+C23+0.01</f>
        <v>6.9793998848963604E-2</v>
      </c>
      <c r="D21" s="271" cm="1">
        <f t="array" ref="D21">(SUMPRODUCT('DCF + DDM'!$H$10:$Q$10/(1+$C21)^'DCF + DDM'!$H$12:$Q$12)+'DCF + DDM'!$L$27*(1+D$19)*(1-D$19/'DCF + DDM'!$L$28)/($C21-D$19)/(1+$C21)^'DCF + DDM'!$Q$12+SUM('DCF + DDM'!$D$31:$D$34))/'DCF + DDM'!$D$38</f>
        <v>63.583456880664826</v>
      </c>
      <c r="E21" s="272" cm="1">
        <f t="array" ref="E21">(SUMPRODUCT('DCF + DDM'!$H$10:$Q$10/(1+$C21)^'DCF + DDM'!$H$12:$Q$12)+'DCF + DDM'!$L$27*(1+E$19)*(1-E$19/'DCF + DDM'!$L$28)/($C21-E$19)/(1+$C21)^'DCF + DDM'!$Q$12+SUM('DCF + DDM'!$D$31:$D$34))/'DCF + DDM'!$D$38</f>
        <v>65.137287470293401</v>
      </c>
      <c r="F21" s="272" cm="1">
        <f t="array" ref="F21">(SUMPRODUCT('DCF + DDM'!$H$10:$Q$10/(1+$C21)^'DCF + DDM'!$H$12:$Q$12)+'DCF + DDM'!$L$27*(1+F$19)*(1-F$19/'DCF + DDM'!$L$28)/($C21-F$19)/(1+$C21)^'DCF + DDM'!$Q$12+SUM('DCF + DDM'!$D$31:$D$34))/'DCF + DDM'!$D$38</f>
        <v>66.852871258677325</v>
      </c>
      <c r="G21" s="272" cm="1">
        <f t="array" ref="G21">(SUMPRODUCT('DCF + DDM'!$H$10:$Q$10/(1+$C21)^'DCF + DDM'!$H$12:$Q$12)+'DCF + DDM'!$L$27*(1+G$19)*(1-G$19/'DCF + DDM'!$L$28)/($C21-G$19)/(1+$C21)^'DCF + DDM'!$Q$12+SUM('DCF + DDM'!$D$31:$D$34))/'DCF + DDM'!$D$38</f>
        <v>68.757291092220996</v>
      </c>
      <c r="H21" s="272" cm="1">
        <f t="array" ref="H21">(SUMPRODUCT('DCF + DDM'!$H$10:$Q$10/(1+$C21)^'DCF + DDM'!$H$12:$Q$12)+'DCF + DDM'!$L$27*(1+H$19)*(1-H$19/'DCF + DDM'!$L$28)/($C21-H$19)/(1+$C21)^'DCF + DDM'!$Q$12+SUM('DCF + DDM'!$D$31:$D$34))/'DCF + DDM'!$D$38</f>
        <v>70.884033289958893</v>
      </c>
      <c r="I21" s="272" cm="1">
        <f t="array" ref="I21">(SUMPRODUCT('DCF + DDM'!$H$10:$Q$10/(1+$C21)^'DCF + DDM'!$H$12:$Q$12)+'DCF + DDM'!$L$27*(1+I$19)*(1-I$19/'DCF + DDM'!$L$28)/($C21-I$19)/(1+$C21)^'DCF + DDM'!$Q$12+SUM('DCF + DDM'!$D$31:$D$34))/'DCF + DDM'!$D$38</f>
        <v>73.274999087747801</v>
      </c>
      <c r="J21" s="273" cm="1">
        <f t="array" ref="J21">(SUMPRODUCT('DCF + DDM'!$H$10:$Q$10/(1+$C21)^'DCF + DDM'!$H$12:$Q$12)+'DCF + DDM'!$L$27*(1+J$19)*(1-J$19/'DCF + DDM'!$L$28)/($C21-J$19)/(1+$C21)^'DCF + DDM'!$Q$12+SUM('DCF + DDM'!$D$31:$D$34))/'DCF + DDM'!$D$38</f>
        <v>75.983325104388157</v>
      </c>
    </row>
    <row r="22" spans="2:13" x14ac:dyDescent="0.25">
      <c r="B22" s="311"/>
      <c r="C22" s="256">
        <f>+C23+0.005</f>
        <v>6.4793998848963613E-2</v>
      </c>
      <c r="D22" s="271" cm="1">
        <f t="array" ref="D22">(SUMPRODUCT('DCF + DDM'!$H$10:$Q$10/(1+$C22)^'DCF + DDM'!$H$12:$Q$12)+'DCF + DDM'!$L$27*(1+D$19)*(1-D$19/'DCF + DDM'!$L$28)/($C22-D$19)/(1+$C22)^'DCF + DDM'!$Q$12+SUM('DCF + DDM'!$D$31:$D$34))/'DCF + DDM'!$D$38</f>
        <v>70.277056184836411</v>
      </c>
      <c r="E22" s="272" cm="1">
        <f t="array" ref="E22">(SUMPRODUCT('DCF + DDM'!$H$10:$Q$10/(1+$C22)^'DCF + DDM'!$H$12:$Q$12)+'DCF + DDM'!$L$27*(1+E$19)*(1-E$19/'DCF + DDM'!$L$28)/($C22-E$19)/(1+$C22)^'DCF + DDM'!$Q$12+SUM('DCF + DDM'!$D$31:$D$34))/'DCF + DDM'!$D$38</f>
        <v>72.326389635196279</v>
      </c>
      <c r="F22" s="260" cm="1">
        <f t="array" ref="F22">(SUMPRODUCT('DCF + DDM'!$H$10:$Q$10/(1+$C22)^'DCF + DDM'!$H$12:$Q$12)+'DCF + DDM'!$L$27*(1+F$19)*(1-F$19/'DCF + DDM'!$L$28)/($C22-F$19)/(1+$C22)^'DCF + DDM'!$Q$12+SUM('DCF + DDM'!$D$31:$D$34))/'DCF + DDM'!$D$38</f>
        <v>74.615041977254563</v>
      </c>
      <c r="G22" s="258" cm="1">
        <f t="array" ref="G22">(SUMPRODUCT('DCF + DDM'!$H$10:$Q$10/(1+$C22)^'DCF + DDM'!$H$12:$Q$12)+'DCF + DDM'!$L$27*(1+G$19)*(1-G$19/'DCF + DDM'!$L$28)/($C22-G$19)/(1+$C22)^'DCF + DDM'!$Q$12+SUM('DCF + DDM'!$D$31:$D$34))/'DCF + DDM'!$D$38</f>
        <v>77.188117793100332</v>
      </c>
      <c r="H22" s="261" cm="1">
        <f t="array" ref="H22">(SUMPRODUCT('DCF + DDM'!$H$10:$Q$10/(1+$C22)^'DCF + DDM'!$H$12:$Q$12)+'DCF + DDM'!$L$27*(1+H$19)*(1-H$19/'DCF + DDM'!$L$28)/($C22-H$19)/(1+$C22)^'DCF + DDM'!$Q$12+SUM('DCF + DDM'!$D$31:$D$34))/'DCF + DDM'!$D$38</f>
        <v>80.102815991921332</v>
      </c>
      <c r="I22" s="272" cm="1">
        <f t="array" ref="I22">(SUMPRODUCT('DCF + DDM'!$H$10:$Q$10/(1+$C22)^'DCF + DDM'!$H$12:$Q$12)+'DCF + DDM'!$L$27*(1+I$19)*(1-I$19/'DCF + DDM'!$L$28)/($C22-I$19)/(1+$C22)^'DCF + DDM'!$Q$12+SUM('DCF + DDM'!$D$31:$D$34))/'DCF + DDM'!$D$38</f>
        <v>83.432774785968832</v>
      </c>
      <c r="J22" s="273" cm="1">
        <f t="array" ref="J22">(SUMPRODUCT('DCF + DDM'!$H$10:$Q$10/(1+$C22)^'DCF + DDM'!$H$12:$Q$12)+'DCF + DDM'!$L$27*(1+J$19)*(1-J$19/'DCF + DDM'!$L$28)/($C22-J$19)/(1+$C22)^'DCF + DDM'!$Q$12+SUM('DCF + DDM'!$D$31:$D$34))/'DCF + DDM'!$D$38</f>
        <v>87.274434832182422</v>
      </c>
      <c r="M22" s="267"/>
    </row>
    <row r="23" spans="2:13" x14ac:dyDescent="0.25">
      <c r="B23" s="311"/>
      <c r="C23" s="256">
        <f>+WACC!$D$25</f>
        <v>5.9793998848963609E-2</v>
      </c>
      <c r="D23" s="271" cm="1">
        <f t="array" ref="D23">(SUMPRODUCT('DCF + DDM'!$H$10:$Q$10/(1+$C23)^'DCF + DDM'!$H$12:$Q$12)+'DCF + DDM'!$L$27*(1+D$19)*(1-D$19/'DCF + DDM'!$L$28)/($C23-D$19)/(1+$C23)^'DCF + DDM'!$Q$12+SUM('DCF + DDM'!$D$31:$D$34))/'DCF + DDM'!$D$38</f>
        <v>78.565602473897002</v>
      </c>
      <c r="E23" s="272" cm="1">
        <f t="array" ref="E23">(SUMPRODUCT('DCF + DDM'!$H$10:$Q$10/(1+$C23)^'DCF + DDM'!$H$12:$Q$12)+'DCF + DDM'!$L$27*(1+E$19)*(1-E$19/'DCF + DDM'!$L$28)/($C23-E$19)/(1+$C23)^'DCF + DDM'!$Q$12+SUM('DCF + DDM'!$D$31:$D$34))/'DCF + DDM'!$D$38</f>
        <v>81.332589263995217</v>
      </c>
      <c r="F23" s="259" cm="1">
        <f t="array" ref="F23">(SUMPRODUCT('DCF + DDM'!$H$10:$Q$10/(1+$C23)^'DCF + DDM'!$H$12:$Q$12)+'DCF + DDM'!$L$27*(1+F$19)*(1-F$19/'DCF + DDM'!$L$28)/($C23-F$19)/(1+$C23)^'DCF + DDM'!$Q$12+SUM('DCF + DDM'!$D$31:$D$34))/'DCF + DDM'!$D$38</f>
        <v>84.467034626935927</v>
      </c>
      <c r="G23" s="266" cm="1">
        <f t="array" ref="G23">(SUMPRODUCT('DCF + DDM'!$H$10:$Q$10/(1+$C23)^'DCF + DDM'!$H$12:$Q$12)+'DCF + DDM'!$L$27*(1+G$19)*(1-G$19/'DCF + DDM'!$L$28)/($C23-G$19)/(1+$C23)^'DCF + DDM'!$Q$12+SUM('DCF + DDM'!$D$31:$D$34))/'DCF + DDM'!$D$38</f>
        <v>88.048145879713061</v>
      </c>
      <c r="H23" s="262" cm="1">
        <f t="array" ref="H23">(SUMPRODUCT('DCF + DDM'!$H$10:$Q$10/(1+$C23)^'DCF + DDM'!$H$12:$Q$12)+'DCF + DDM'!$L$27*(1+H$19)*(1-H$19/'DCF + DDM'!$L$28)/($C23-H$19)/(1+$C23)^'DCF + DDM'!$Q$12+SUM('DCF + DDM'!$D$31:$D$34))/'DCF + DDM'!$D$38</f>
        <v>92.179657285446069</v>
      </c>
      <c r="I23" s="272" cm="1">
        <f t="array" ref="I23">(SUMPRODUCT('DCF + DDM'!$H$10:$Q$10/(1+$C23)^'DCF + DDM'!$H$12:$Q$12)+'DCF + DDM'!$L$27*(1+I$19)*(1-I$19/'DCF + DDM'!$L$28)/($C23-I$19)/(1+$C23)^'DCF + DDM'!$Q$12+SUM('DCF + DDM'!$D$31:$D$34))/'DCF + DDM'!$D$38</f>
        <v>97.000120274176027</v>
      </c>
      <c r="J23" s="273" cm="1">
        <f t="array" ref="J23">(SUMPRODUCT('DCF + DDM'!$H$10:$Q$10/(1+$C23)^'DCF + DDM'!$H$12:$Q$12)+'DCF + DDM'!$L$27*(1+J$19)*(1-J$19/'DCF + DDM'!$L$28)/($C23-J$19)/(1+$C23)^'DCF + DDM'!$Q$12+SUM('DCF + DDM'!$D$31:$D$34))/'DCF + DDM'!$D$38</f>
        <v>102.69884887427489</v>
      </c>
    </row>
    <row r="24" spans="2:13" x14ac:dyDescent="0.25">
      <c r="B24" s="311"/>
      <c r="C24" s="256">
        <f>+C23-0.005</f>
        <v>5.4793998848963611E-2</v>
      </c>
      <c r="D24" s="271" cm="1">
        <f t="array" ref="D24">(SUMPRODUCT('DCF + DDM'!$H$10:$Q$10/(1+$C24)^'DCF + DDM'!$H$12:$Q$12)+'DCF + DDM'!$L$27*(1+D$19)*(1-D$19/'DCF + DDM'!$L$28)/($C24-D$19)/(1+$C24)^'DCF + DDM'!$Q$12+SUM('DCF + DDM'!$D$31:$D$34))/'DCF + DDM'!$D$38</f>
        <v>89.091090991610614</v>
      </c>
      <c r="E24" s="272" cm="1">
        <f t="array" ref="E24">(SUMPRODUCT('DCF + DDM'!$H$10:$Q$10/(1+$C24)^'DCF + DDM'!$H$12:$Q$12)+'DCF + DDM'!$L$27*(1+E$19)*(1-E$19/'DCF + DDM'!$L$28)/($C24-E$19)/(1+$C24)^'DCF + DDM'!$Q$12+SUM('DCF + DDM'!$D$31:$D$34))/'DCF + DDM'!$D$38</f>
        <v>92.939627165039511</v>
      </c>
      <c r="F24" s="263" cm="1">
        <f t="array" ref="F24">(SUMPRODUCT('DCF + DDM'!$H$10:$Q$10/(1+$C24)^'DCF + DDM'!$H$12:$Q$12)+'DCF + DDM'!$L$27*(1+F$19)*(1-F$19/'DCF + DDM'!$L$28)/($C24-F$19)/(1+$C24)^'DCF + DDM'!$Q$12+SUM('DCF + DDM'!$D$31:$D$34))/'DCF + DDM'!$D$38</f>
        <v>97.379771887307982</v>
      </c>
      <c r="G24" s="264" cm="1">
        <f t="array" ref="G24">(SUMPRODUCT('DCF + DDM'!$H$10:$Q$10/(1+$C24)^'DCF + DDM'!$H$12:$Q$12)+'DCF + DDM'!$L$27*(1+G$19)*(1-G$19/'DCF + DDM'!$L$28)/($C24-G$19)/(1+$C24)^'DCF + DDM'!$Q$12+SUM('DCF + DDM'!$D$31:$D$34))/'DCF + DDM'!$D$38</f>
        <v>102.56044991802248</v>
      </c>
      <c r="H24" s="265" cm="1">
        <f t="array" ref="H24">(SUMPRODUCT('DCF + DDM'!$H$10:$Q$10/(1+$C24)^'DCF + DDM'!$H$12:$Q$12)+'DCF + DDM'!$L$27*(1+H$19)*(1-H$19/'DCF + DDM'!$L$28)/($C24-H$19)/(1+$C24)^'DCF + DDM'!$Q$12+SUM('DCF + DDM'!$D$31:$D$34))/'DCF + DDM'!$D$38</f>
        <v>108.6851492049945</v>
      </c>
      <c r="I24" s="272" cm="1">
        <f t="array" ref="I24">(SUMPRODUCT('DCF + DDM'!$H$10:$Q$10/(1+$C24)^'DCF + DDM'!$H$12:$Q$12)+'DCF + DDM'!$L$27*(1+I$19)*(1-I$19/'DCF + DDM'!$L$28)/($C24-I$19)/(1+$C24)^'DCF + DDM'!$Q$12+SUM('DCF + DDM'!$D$31:$D$34))/'DCF + DDM'!$D$38</f>
        <v>116.03942914770053</v>
      </c>
      <c r="J24" s="273" cm="1">
        <f t="array" ref="J24">(SUMPRODUCT('DCF + DDM'!$H$10:$Q$10/(1+$C24)^'DCF + DDM'!$H$12:$Q$12)+'DCF + DDM'!$L$27*(1+J$19)*(1-J$19/'DCF + DDM'!$L$28)/($C24-J$19)/(1+$C24)^'DCF + DDM'!$Q$12+SUM('DCF + DDM'!$D$31:$D$34))/'DCF + DDM'!$D$38</f>
        <v>125.03693715773689</v>
      </c>
    </row>
    <row r="25" spans="2:13" x14ac:dyDescent="0.25">
      <c r="B25" s="311"/>
      <c r="C25" s="255">
        <f>+C23-0.01</f>
        <v>4.9793998848963607E-2</v>
      </c>
      <c r="D25" s="271" cm="1">
        <f t="array" ref="D25">(SUMPRODUCT('DCF + DDM'!$H$10:$Q$10/(1+$C25)^'DCF + DDM'!$H$12:$Q$12)+'DCF + DDM'!$L$27*(1+D$19)*(1-D$19/'DCF + DDM'!$L$28)/($C25-D$19)/(1+$C25)^'DCF + DDM'!$Q$12+SUM('DCF + DDM'!$D$31:$D$34))/'DCF + DDM'!$D$38</f>
        <v>102.8931334981426</v>
      </c>
      <c r="E25" s="272" cm="1">
        <f t="array" ref="E25">(SUMPRODUCT('DCF + DDM'!$H$10:$Q$10/(1+$C25)^'DCF + DDM'!$H$12:$Q$12)+'DCF + DDM'!$L$27*(1+E$19)*(1-E$19/'DCF + DDM'!$L$28)/($C25-E$19)/(1+$C25)^'DCF + DDM'!$Q$12+SUM('DCF + DDM'!$D$31:$D$34))/'DCF + DDM'!$D$38</f>
        <v>108.45736426872033</v>
      </c>
      <c r="F25" s="272" cm="1">
        <f t="array" ref="F25">(SUMPRODUCT('DCF + DDM'!$H$10:$Q$10/(1+$C25)^'DCF + DDM'!$H$12:$Q$12)+'DCF + DDM'!$L$27*(1+F$19)*(1-F$19/'DCF + DDM'!$L$28)/($C25-F$19)/(1+$C25)^'DCF + DDM'!$Q$12+SUM('DCF + DDM'!$D$31:$D$34))/'DCF + DDM'!$D$38</f>
        <v>115.03563474879385</v>
      </c>
      <c r="G25" s="272" cm="1">
        <f t="array" ref="G25">(SUMPRODUCT('DCF + DDM'!$H$10:$Q$10/(1+$C25)^'DCF + DDM'!$H$12:$Q$12)+'DCF + DDM'!$L$27*(1+G$19)*(1-G$19/'DCF + DDM'!$L$28)/($C25-G$19)/(1+$C25)^'DCF + DDM'!$Q$12+SUM('DCF + DDM'!$D$31:$D$34))/'DCF + DDM'!$D$38</f>
        <v>122.93468439848606</v>
      </c>
      <c r="H25" s="272" cm="1">
        <f t="array" ref="H25">(SUMPRODUCT('DCF + DDM'!$H$10:$Q$10/(1+$C25)^'DCF + DDM'!$H$12:$Q$12)+'DCF + DDM'!$L$27*(1+H$19)*(1-H$19/'DCF + DDM'!$L$28)/($C25-H$19)/(1+$C25)^'DCF + DDM'!$Q$12+SUM('DCF + DDM'!$D$31:$D$34))/'DCF + DDM'!$D$38</f>
        <v>132.59884103171905</v>
      </c>
      <c r="I25" s="272" cm="1">
        <f t="array" ref="I25">(SUMPRODUCT('DCF + DDM'!$H$10:$Q$10/(1+$C25)^'DCF + DDM'!$H$12:$Q$12)+'DCF + DDM'!$L$27*(1+I$19)*(1-I$19/'DCF + DDM'!$L$28)/($C25-I$19)/(1+$C25)^'DCF + DDM'!$Q$12+SUM('DCF + DDM'!$D$31:$D$34))/'DCF + DDM'!$D$38</f>
        <v>144.69690848533074</v>
      </c>
      <c r="J25" s="273" cm="1">
        <f t="array" ref="J25">(SUMPRODUCT('DCF + DDM'!$H$10:$Q$10/(1+$C25)^'DCF + DDM'!$H$12:$Q$12)+'DCF + DDM'!$L$27*(1+J$19)*(1-J$19/'DCF + DDM'!$L$28)/($C25-J$19)/(1+$C25)^'DCF + DDM'!$Q$12+SUM('DCF + DDM'!$D$31:$D$34))/'DCF + DDM'!$D$38</f>
        <v>160.28441655970249</v>
      </c>
    </row>
    <row r="26" spans="2:13" x14ac:dyDescent="0.25">
      <c r="B26" s="312"/>
      <c r="C26" s="255">
        <f>+C23-0.015</f>
        <v>4.4793998848963609E-2</v>
      </c>
      <c r="D26" s="274" cm="1">
        <f t="array" ref="D26">(SUMPRODUCT('DCF + DDM'!$H$10:$Q$10/(1+$C26)^'DCF + DDM'!$H$12:$Q$12)+'DCF + DDM'!$L$27*(1+D$19)*(1-D$19/'DCF + DDM'!$L$28)/($C26-D$19)/(1+$C26)^'DCF + DDM'!$Q$12+SUM('DCF + DDM'!$D$31:$D$34))/'DCF + DDM'!$D$38</f>
        <v>121.7731571050999</v>
      </c>
      <c r="E26" s="275" cm="1">
        <f t="array" ref="E26">(SUMPRODUCT('DCF + DDM'!$H$10:$Q$10/(1+$C26)^'DCF + DDM'!$H$12:$Q$12)+'DCF + DDM'!$L$27*(1+E$19)*(1-E$19/'DCF + DDM'!$L$28)/($C26-E$19)/(1+$C26)^'DCF + DDM'!$Q$12+SUM('DCF + DDM'!$D$31:$D$34))/'DCF + DDM'!$D$38</f>
        <v>130.25227338722178</v>
      </c>
      <c r="F26" s="275" cm="1">
        <f t="array" ref="F26">(SUMPRODUCT('DCF + DDM'!$H$10:$Q$10/(1+$C26)^'DCF + DDM'!$H$12:$Q$12)+'DCF + DDM'!$L$27*(1+F$19)*(1-F$19/'DCF + DDM'!$L$28)/($C26-F$19)/(1+$C26)^'DCF + DDM'!$Q$12+SUM('DCF + DDM'!$D$31:$D$34))/'DCF + DDM'!$D$38</f>
        <v>140.62627569098973</v>
      </c>
      <c r="G26" s="275" cm="1">
        <f t="array" ref="G26">(SUMPRODUCT('DCF + DDM'!$H$10:$Q$10/(1+$C26)^'DCF + DDM'!$H$12:$Q$12)+'DCF + DDM'!$L$27*(1+G$19)*(1-G$19/'DCF + DDM'!$L$28)/($C26-G$19)/(1+$C26)^'DCF + DDM'!$Q$12+SUM('DCF + DDM'!$D$31:$D$34))/'DCF + DDM'!$D$38</f>
        <v>153.61314148375558</v>
      </c>
      <c r="H26" s="275" cm="1">
        <f t="array" ref="H26">(SUMPRODUCT('DCF + DDM'!$H$10:$Q$10/(1+$C26)^'DCF + DDM'!$H$12:$Q$12)+'DCF + DDM'!$L$27*(1+H$19)*(1-H$19/'DCF + DDM'!$L$28)/($C26-H$19)/(1+$C26)^'DCF + DDM'!$Q$12+SUM('DCF + DDM'!$D$31:$D$34))/'DCF + DDM'!$D$38</f>
        <v>170.34600812366486</v>
      </c>
      <c r="I26" s="275" cm="1">
        <f t="array" ref="I26">(SUMPRODUCT('DCF + DDM'!$H$10:$Q$10/(1+$C26)^'DCF + DDM'!$H$12:$Q$12)+'DCF + DDM'!$L$27*(1+I$19)*(1-I$19/'DCF + DDM'!$L$28)/($C26-I$19)/(1+$C26)^'DCF + DDM'!$Q$12+SUM('DCF + DDM'!$D$31:$D$34))/'DCF + DDM'!$D$38</f>
        <v>192.72395689633908</v>
      </c>
      <c r="J26" s="276" cm="1">
        <f t="array" ref="J26">(SUMPRODUCT('DCF + DDM'!$H$10:$Q$10/(1+$C26)^'DCF + DDM'!$H$12:$Q$12)+'DCF + DDM'!$L$27*(1+J$19)*(1-J$19/'DCF + DDM'!$L$28)/($C26-J$19)/(1+$C26)^'DCF + DDM'!$Q$12+SUM('DCF + DDM'!$D$31:$D$34))/'DCF + DDM'!$D$38</f>
        <v>224.19079127987177</v>
      </c>
    </row>
    <row r="30" spans="2:13" x14ac:dyDescent="0.25">
      <c r="B30" s="315" t="s">
        <v>1285</v>
      </c>
      <c r="C30" s="316"/>
      <c r="D30" s="316"/>
      <c r="E30" s="316"/>
      <c r="F30" s="316"/>
      <c r="G30" s="316"/>
      <c r="H30" s="316"/>
      <c r="I30" s="316"/>
      <c r="J30" s="317"/>
    </row>
    <row r="32" spans="2:13" x14ac:dyDescent="0.25">
      <c r="D32" s="315" t="s">
        <v>1284</v>
      </c>
      <c r="E32" s="316"/>
      <c r="F32" s="316"/>
      <c r="G32" s="316"/>
      <c r="H32" s="316"/>
      <c r="I32" s="316"/>
      <c r="J32" s="317"/>
    </row>
    <row r="33" spans="2:10" x14ac:dyDescent="0.25">
      <c r="D33" s="257">
        <f t="shared" ref="D33:E33" si="4">+E33-0.0025</f>
        <v>1.7500000000000005E-2</v>
      </c>
      <c r="E33" s="257">
        <f t="shared" si="4"/>
        <v>2.0000000000000004E-2</v>
      </c>
      <c r="F33" s="257">
        <f>+G33-0.0025</f>
        <v>2.2500000000000003E-2</v>
      </c>
      <c r="G33" s="256">
        <f>+'DCF + DDM'!P28</f>
        <v>2.5000000000000001E-2</v>
      </c>
      <c r="H33" s="257">
        <f>+G33+0.0025</f>
        <v>2.75E-2</v>
      </c>
      <c r="I33" s="257">
        <f t="shared" ref="I33:J33" si="5">+H33+0.0025</f>
        <v>0.03</v>
      </c>
      <c r="J33" s="257">
        <f t="shared" si="5"/>
        <v>3.2500000000000001E-2</v>
      </c>
    </row>
    <row r="34" spans="2:10" x14ac:dyDescent="0.25">
      <c r="B34" s="310" t="s">
        <v>1286</v>
      </c>
      <c r="C34" s="255">
        <f>+C37+0.015</f>
        <v>7.8752565577222447E-2</v>
      </c>
      <c r="D34" s="268" cm="1">
        <f t="array" ref="D34">(SUMPRODUCT('DCF + DDM'!$H$20:$Q$20/(1+$C34)^'DCF + DDM'!$H$12:$Q$12)+'DCF + DDM'!$Q$20*(1+D$33)/($C34-D$33)/(1+$C34)^'DCF + DDM'!$Q$12)/'DCF + DDM'!$D$38</f>
        <v>53.499072470636925</v>
      </c>
      <c r="E34" s="269" cm="1">
        <f t="array" ref="E34">(SUMPRODUCT('DCF + DDM'!$H$20:$Q$20/(1+$C34)^'DCF + DDM'!$H$12:$Q$12)+'DCF + DDM'!$Q$20*(1+E$33)/($C34-E$33)/(1+$C34)^'DCF + DDM'!$Q$12)/'DCF + DDM'!$D$38</f>
        <v>54.997061706789786</v>
      </c>
      <c r="F34" s="269" cm="1">
        <f t="array" ref="F34">(SUMPRODUCT('DCF + DDM'!$H$20:$Q$20/(1+$C34)^'DCF + DDM'!$H$12:$Q$12)+'DCF + DDM'!$Q$20*(1+F$33)/($C34-F$33)/(1+$C34)^'DCF + DDM'!$Q$12)/'DCF + DDM'!$D$38</f>
        <v>56.628199468772678</v>
      </c>
      <c r="G34" s="269" cm="1">
        <f t="array" ref="G34">(SUMPRODUCT('DCF + DDM'!$H$20:$Q$20/(1+$C34)^'DCF + DDM'!$H$12:$Q$12)+'DCF + DDM'!$Q$20*(1+G$33)/($C34-G$33)/(1+$C34)^'DCF + DDM'!$Q$12)/'DCF + DDM'!$D$38</f>
        <v>58.411063733897031</v>
      </c>
      <c r="H34" s="269" cm="1">
        <f t="array" ref="H34">(SUMPRODUCT('DCF + DDM'!$H$20:$Q$20/(1+$C34)^'DCF + DDM'!$H$12:$Q$12)+'DCF + DDM'!$Q$20*(1+H$33)/($C34-H$33)/(1+$C34)^'DCF + DDM'!$Q$12)/'DCF + DDM'!$D$38</f>
        <v>60.367857269199888</v>
      </c>
      <c r="I34" s="269" cm="1">
        <f t="array" ref="I34">(SUMPRODUCT('DCF + DDM'!$H$20:$Q$20/(1+$C34)^'DCF + DDM'!$H$12:$Q$12)+'DCF + DDM'!$Q$20*(1+I$33)/($C34-I$33)/(1+$C34)^'DCF + DDM'!$Q$12)/'DCF + DDM'!$D$38</f>
        <v>62.525337015795905</v>
      </c>
      <c r="J34" s="270" cm="1">
        <f t="array" ref="J34">(SUMPRODUCT('DCF + DDM'!$H$20:$Q$20/(1+$C34)^'DCF + DDM'!$H$12:$Q$12)+'DCF + DDM'!$Q$20*(1+J$33)/($C34-J$33)/(1+$C34)^'DCF + DDM'!$Q$12)/'DCF + DDM'!$D$38</f>
        <v>64.916044878461918</v>
      </c>
    </row>
    <row r="35" spans="2:10" x14ac:dyDescent="0.25">
      <c r="B35" s="311"/>
      <c r="C35" s="256">
        <f>+C37+0.01</f>
        <v>7.3752565577222443E-2</v>
      </c>
      <c r="D35" s="271" cm="1">
        <f t="array" ref="D35">(SUMPRODUCT('DCF + DDM'!$H$20:$Q$20/(1+$C35)^'DCF + DDM'!$H$12:$Q$12)+'DCF + DDM'!$Q$20*(1+D$33)/($C35-D$33)/(1+$C35)^'DCF + DDM'!$Q$12)/'DCF + DDM'!$D$38</f>
        <v>58.701824581240786</v>
      </c>
      <c r="E35" s="272" cm="1">
        <f t="array" ref="E35">(SUMPRODUCT('DCF + DDM'!$H$20:$Q$20/(1+$C35)^'DCF + DDM'!$H$12:$Q$12)+'DCF + DDM'!$Q$20*(1+E$33)/($C35-E$33)/(1+$C35)^'DCF + DDM'!$Q$12)/'DCF + DDM'!$D$38</f>
        <v>60.560814026279196</v>
      </c>
      <c r="F35" s="272" cm="1">
        <f t="array" ref="F35">(SUMPRODUCT('DCF + DDM'!$H$20:$Q$20/(1+$C35)^'DCF + DDM'!$H$12:$Q$12)+'DCF + DDM'!$Q$20*(1+F$33)/($C35-F$33)/(1+$C35)^'DCF + DDM'!$Q$12)/'DCF + DDM'!$D$38</f>
        <v>62.601159216547337</v>
      </c>
      <c r="G35" s="272" cm="1">
        <f t="array" ref="G35">(SUMPRODUCT('DCF + DDM'!$H$20:$Q$20/(1+$C35)^'DCF + DDM'!$H$12:$Q$12)+'DCF + DDM'!$Q$20*(1+G$33)/($C35-G$33)/(1+$C35)^'DCF + DDM'!$Q$12)/'DCF + DDM'!$D$38</f>
        <v>64.850759567657846</v>
      </c>
      <c r="H35" s="272" cm="1">
        <f t="array" ref="H35">(SUMPRODUCT('DCF + DDM'!$H$20:$Q$20/(1+$C35)^'DCF + DDM'!$H$12:$Q$12)+'DCF + DDM'!$Q$20*(1+H$33)/($C35-H$33)/(1+$C35)^'DCF + DDM'!$Q$12)/'DCF + DDM'!$D$38</f>
        <v>67.343546466696679</v>
      </c>
      <c r="I35" s="272" cm="1">
        <f t="array" ref="I35">(SUMPRODUCT('DCF + DDM'!$H$20:$Q$20/(1+$C35)^'DCF + DDM'!$H$12:$Q$12)+'DCF + DDM'!$Q$20*(1+I$33)/($C35-I$33)/(1+$C35)^'DCF + DDM'!$Q$12)/'DCF + DDM'!$D$38</f>
        <v>70.121206591585434</v>
      </c>
      <c r="J35" s="273" cm="1">
        <f t="array" ref="J35">(SUMPRODUCT('DCF + DDM'!$H$20:$Q$20/(1+$C35)^'DCF + DDM'!$H$12:$Q$12)+'DCF + DDM'!$Q$20*(1+J$33)/($C35-J$33)/(1+$C35)^'DCF + DDM'!$Q$12)/'DCF + DDM'!$D$38</f>
        <v>73.235531853056926</v>
      </c>
    </row>
    <row r="36" spans="2:10" x14ac:dyDescent="0.25">
      <c r="B36" s="311"/>
      <c r="C36" s="256">
        <f>+C37+0.005</f>
        <v>6.8752565577222452E-2</v>
      </c>
      <c r="D36" s="271" cm="1">
        <f t="array" ref="D36">(SUMPRODUCT('DCF + DDM'!$H$20:$Q$20/(1+$C36)^'DCF + DDM'!$H$12:$Q$12)+'DCF + DDM'!$Q$20*(1+D$33)/($C36-D$33)/(1+$C36)^'DCF + DDM'!$Q$12)/'DCF + DDM'!$D$38</f>
        <v>64.935298982476667</v>
      </c>
      <c r="E36" s="272" cm="1">
        <f t="array" ref="E36">(SUMPRODUCT('DCF + DDM'!$H$20:$Q$20/(1+$C36)^'DCF + DDM'!$H$12:$Q$12)+'DCF + DDM'!$Q$20*(1+E$33)/($C36-E$33)/(1+$C36)^'DCF + DDM'!$Q$12)/'DCF + DDM'!$D$38</f>
        <v>67.281411136397693</v>
      </c>
      <c r="F36" s="260" cm="1">
        <f t="array" ref="F36">(SUMPRODUCT('DCF + DDM'!$H$20:$Q$20/(1+$C36)^'DCF + DDM'!$H$12:$Q$12)+'DCF + DDM'!$Q$20*(1+F$33)/($C36-F$33)/(1+$C36)^'DCF + DDM'!$Q$12)/'DCF + DDM'!$D$38</f>
        <v>69.881142967913078</v>
      </c>
      <c r="G36" s="258" cm="1">
        <f t="array" ref="G36">(SUMPRODUCT('DCF + DDM'!$H$20:$Q$20/(1+$C36)^'DCF + DDM'!$H$12:$Q$12)+'DCF + DDM'!$Q$20*(1+G$33)/($C36-G$33)/(1+$C36)^'DCF + DDM'!$Q$12)/'DCF + DDM'!$D$38</f>
        <v>72.777969586581762</v>
      </c>
      <c r="H36" s="261" cm="1">
        <f t="array" ref="H36">(SUMPRODUCT('DCF + DDM'!$H$20:$Q$20/(1+$C36)^'DCF + DDM'!$H$12:$Q$12)+'DCF + DDM'!$Q$20*(1+H$33)/($C36-H$33)/(1+$C36)^'DCF + DDM'!$Q$12)/'DCF + DDM'!$D$38</f>
        <v>76.025904866994892</v>
      </c>
      <c r="I36" s="272" cm="1">
        <f t="array" ref="I36">(SUMPRODUCT('DCF + DDM'!$H$20:$Q$20/(1+$C36)^'DCF + DDM'!$H$12:$Q$12)+'DCF + DDM'!$Q$20*(1+I$33)/($C36-I$33)/(1+$C36)^'DCF + DDM'!$Q$12)/'DCF + DDM'!$D$38</f>
        <v>79.69290082533152</v>
      </c>
      <c r="J36" s="273" cm="1">
        <f t="array" ref="J36">(SUMPRODUCT('DCF + DDM'!$H$20:$Q$20/(1+$C36)^'DCF + DDM'!$H$12:$Q$12)+'DCF + DDM'!$Q$20*(1+J$33)/($C36-J$33)/(1+$C36)^'DCF + DDM'!$Q$12)/'DCF + DDM'!$D$38</f>
        <v>83.865653534942126</v>
      </c>
    </row>
    <row r="37" spans="2:10" x14ac:dyDescent="0.25">
      <c r="B37" s="311"/>
      <c r="C37" s="256">
        <f>+WACC!$D$17</f>
        <v>6.3752565577222448E-2</v>
      </c>
      <c r="D37" s="271" cm="1">
        <f t="array" ref="D37">(SUMPRODUCT('DCF + DDM'!$H$20:$Q$20/(1+$C37)^'DCF + DDM'!$H$12:$Q$12)+'DCF + DDM'!$Q$20*(1+D$33)/($C37-D$33)/(1+$C37)^'DCF + DDM'!$Q$12)/'DCF + DDM'!$D$38</f>
        <v>72.534486267415559</v>
      </c>
      <c r="E37" s="272" cm="1">
        <f t="array" ref="E37">(SUMPRODUCT('DCF + DDM'!$H$20:$Q$20/(1+$C37)^'DCF + DDM'!$H$12:$Q$12)+'DCF + DDM'!$Q$20*(1+E$33)/($C37-E$33)/(1+$C37)^'DCF + DDM'!$Q$12)/'DCF + DDM'!$D$38</f>
        <v>75.556187002355699</v>
      </c>
      <c r="F37" s="259" cm="1">
        <f t="array" ref="F37">(SUMPRODUCT('DCF + DDM'!$H$20:$Q$20/(1+$C37)^'DCF + DDM'!$H$12:$Q$12)+'DCF + DDM'!$Q$20*(1+F$33)/($C37-F$33)/(1+$C37)^'DCF + DDM'!$Q$12)/'DCF + DDM'!$D$38</f>
        <v>78.944131714204829</v>
      </c>
      <c r="G37" s="266" cm="1">
        <f t="array" ref="G37">(SUMPRODUCT('DCF + DDM'!$H$20:$Q$20/(1+$C37)^'DCF + DDM'!$H$12:$Q$12)+'DCF + DDM'!$Q$20*(1+G$33)/($C37-G$33)/(1+$C37)^'DCF + DDM'!$Q$12)/'DCF + DDM'!$D$38</f>
        <v>82.769201641041079</v>
      </c>
      <c r="H37" s="262" cm="1">
        <f t="array" ref="H37">(SUMPRODUCT('DCF + DDM'!$H$20:$Q$20/(1+$C37)^'DCF + DDM'!$H$12:$Q$12)+'DCF + DDM'!$Q$20*(1+H$33)/($C37-H$33)/(1+$C37)^'DCF + DDM'!$Q$12)/'DCF + DDM'!$D$38</f>
        <v>87.121830082141429</v>
      </c>
      <c r="I37" s="272" cm="1">
        <f t="array" ref="I37">(SUMPRODUCT('DCF + DDM'!$H$20:$Q$20/(1+$C37)^'DCF + DDM'!$H$12:$Q$12)+'DCF + DDM'!$Q$20*(1+I$33)/($C37-I$33)/(1+$C37)^'DCF + DDM'!$Q$12)/'DCF + DDM'!$D$38</f>
        <v>92.119243351693115</v>
      </c>
      <c r="J37" s="273" cm="1">
        <f t="array" ref="J37">(SUMPRODUCT('DCF + DDM'!$H$20:$Q$20/(1+$C37)^'DCF + DDM'!$H$12:$Q$12)+'DCF + DDM'!$Q$20*(1+J$33)/($C37-J$33)/(1+$C37)^'DCF + DDM'!$Q$12)/'DCF + DDM'!$D$38</f>
        <v>97.916177104963694</v>
      </c>
    </row>
    <row r="38" spans="2:10" x14ac:dyDescent="0.25">
      <c r="B38" s="311"/>
      <c r="C38" s="256">
        <f>+C37-0.005</f>
        <v>5.875256557722245E-2</v>
      </c>
      <c r="D38" s="271" cm="1">
        <f t="array" ref="D38">(SUMPRODUCT('DCF + DDM'!$H$20:$Q$20/(1+$C38)^'DCF + DDM'!$H$12:$Q$12)+'DCF + DDM'!$Q$20*(1+D$33)/($C38-D$33)/(1+$C38)^'DCF + DDM'!$Q$12)/'DCF + DDM'!$D$38</f>
        <v>81.996826472041036</v>
      </c>
      <c r="E38" s="272" cm="1">
        <f t="array" ref="E38">(SUMPRODUCT('DCF + DDM'!$H$20:$Q$20/(1+$C38)^'DCF + DDM'!$H$12:$Q$12)+'DCF + DDM'!$Q$20*(1+E$33)/($C38-E$33)/(1+$C38)^'DCF + DDM'!$Q$12)/'DCF + DDM'!$D$38</f>
        <v>85.987577941663972</v>
      </c>
      <c r="F38" s="263" cm="1">
        <f t="array" ref="F38">(SUMPRODUCT('DCF + DDM'!$H$20:$Q$20/(1+$C38)^'DCF + DDM'!$H$12:$Q$12)+'DCF + DDM'!$Q$20*(1+F$33)/($C38-F$33)/(1+$C38)^'DCF + DDM'!$Q$12)/'DCF + DDM'!$D$38</f>
        <v>90.528738934872521</v>
      </c>
      <c r="G38" s="264" cm="1">
        <f t="array" ref="G38">(SUMPRODUCT('DCF + DDM'!$H$20:$Q$20/(1+$C38)^'DCF + DDM'!$H$12:$Q$12)+'DCF + DDM'!$Q$20*(1+G$33)/($C38-G$33)/(1+$C38)^'DCF + DDM'!$Q$12)/'DCF + DDM'!$D$38</f>
        <v>95.742613381939691</v>
      </c>
      <c r="H38" s="265" cm="1">
        <f t="array" ref="H38">(SUMPRODUCT('DCF + DDM'!$H$20:$Q$20/(1+$C38)^'DCF + DDM'!$H$12:$Q$12)+'DCF + DDM'!$Q$20*(1+H$33)/($C38-H$33)/(1+$C38)^'DCF + DDM'!$Q$12)/'DCF + DDM'!$D$38</f>
        <v>101.79063925798064</v>
      </c>
      <c r="I38" s="272" cm="1">
        <f t="array" ref="I38">(SUMPRODUCT('DCF + DDM'!$H$20:$Q$20/(1+$C38)^'DCF + DDM'!$H$12:$Q$12)+'DCF + DDM'!$Q$20*(1+I$33)/($C38-I$33)/(1+$C38)^'DCF + DDM'!$Q$12)/'DCF + DDM'!$D$38</f>
        <v>108.89040186683542</v>
      </c>
      <c r="J38" s="273" cm="1">
        <f t="array" ref="J38">(SUMPRODUCT('DCF + DDM'!$H$20:$Q$20/(1+$C38)^'DCF + DDM'!$H$12:$Q$12)+'DCF + DDM'!$Q$20*(1+J$33)/($C38-J$33)/(1+$C38)^'DCF + DDM'!$Q$12)/'DCF + DDM'!$D$38</f>
        <v>117.34236805136946</v>
      </c>
    </row>
    <row r="39" spans="2:10" x14ac:dyDescent="0.25">
      <c r="B39" s="311"/>
      <c r="C39" s="255">
        <f>+C37-0.01</f>
        <v>5.3752565577222446E-2</v>
      </c>
      <c r="D39" s="271" cm="1">
        <f t="array" ref="D39">(SUMPRODUCT('DCF + DDM'!$H$20:$Q$20/(1+$C39)^'DCF + DDM'!$H$12:$Q$12)+'DCF + DDM'!$Q$20*(1+D$33)/($C39-D$33)/(1+$C39)^'DCF + DDM'!$Q$12)/'DCF + DDM'!$D$38</f>
        <v>94.094237784400192</v>
      </c>
      <c r="E39" s="272" cm="1">
        <f t="array" ref="E39">(SUMPRODUCT('DCF + DDM'!$H$20:$Q$20/(1+$C39)^'DCF + DDM'!$H$12:$Q$12)+'DCF + DDM'!$Q$20*(1+E$33)/($C39-E$33)/(1+$C39)^'DCF + DDM'!$Q$12)/'DCF + DDM'!$D$38</f>
        <v>99.535041335870517</v>
      </c>
      <c r="F39" s="272" cm="1">
        <f t="array" ref="F39">(SUMPRODUCT('DCF + DDM'!$H$20:$Q$20/(1+$C39)^'DCF + DDM'!$H$12:$Q$12)+'DCF + DDM'!$Q$20*(1+F$33)/($C39-F$33)/(1+$C39)^'DCF + DDM'!$Q$12)/'DCF + DDM'!$D$38</f>
        <v>105.84630199237863</v>
      </c>
      <c r="G39" s="272" cm="1">
        <f t="array" ref="G39">(SUMPRODUCT('DCF + DDM'!$H$20:$Q$20/(1+$C39)^'DCF + DDM'!$H$12:$Q$12)+'DCF + DDM'!$Q$20*(1+G$33)/($C39-G$33)/(1+$C39)^'DCF + DDM'!$Q$12)/'DCF + DDM'!$D$38</f>
        <v>113.2550752585976</v>
      </c>
      <c r="H39" s="272" cm="1">
        <f t="array" ref="H39">(SUMPRODUCT('DCF + DDM'!$H$20:$Q$20/(1+$C39)^'DCF + DDM'!$H$12:$Q$12)+'DCF + DDM'!$Q$20*(1+H$33)/($C39-H$33)/(1+$C39)^'DCF + DDM'!$Q$12)/'DCF + DDM'!$D$38</f>
        <v>122.07490552121298</v>
      </c>
      <c r="I39" s="272" cm="1">
        <f t="array" ref="I39">(SUMPRODUCT('DCF + DDM'!$H$20:$Q$20/(1+$C39)^'DCF + DDM'!$H$12:$Q$12)+'DCF + DDM'!$Q$20*(1+I$33)/($C39-I$33)/(1+$C39)^'DCF + DDM'!$Q$12)/'DCF + DDM'!$D$38</f>
        <v>132.75134159635439</v>
      </c>
      <c r="J39" s="273" cm="1">
        <f t="array" ref="J39">(SUMPRODUCT('DCF + DDM'!$H$20:$Q$20/(1+$C39)^'DCF + DDM'!$H$12:$Q$12)+'DCF + DDM'!$Q$20*(1+J$33)/($C39-J$33)/(1+$C39)^'DCF + DDM'!$Q$12)/'DCF + DDM'!$D$38</f>
        <v>145.93957702022567</v>
      </c>
    </row>
    <row r="40" spans="2:10" x14ac:dyDescent="0.25">
      <c r="B40" s="312"/>
      <c r="C40" s="255">
        <f>+C37-0.015</f>
        <v>4.8752565577222448E-2</v>
      </c>
      <c r="D40" s="274" cm="1">
        <f t="array" ref="D40">(SUMPRODUCT('DCF + DDM'!$H$20:$Q$20/(1+$C40)^'DCF + DDM'!$H$12:$Q$12)+'DCF + DDM'!$Q$20*(1+D$33)/($C40-D$33)/(1+$C40)^'DCF + DDM'!$Q$12)/'DCF + DDM'!$D$38</f>
        <v>110.09268416890406</v>
      </c>
      <c r="E40" s="275" cm="1">
        <f t="array" ref="E40">(SUMPRODUCT('DCF + DDM'!$H$20:$Q$20/(1+$C40)^'DCF + DDM'!$H$12:$Q$12)+'DCF + DDM'!$Q$20*(1+E$33)/($C40-E$33)/(1+$C40)^'DCF + DDM'!$Q$12)/'DCF + DDM'!$D$38</f>
        <v>117.82548425952953</v>
      </c>
      <c r="F40" s="275" cm="1">
        <f t="array" ref="F40">(SUMPRODUCT('DCF + DDM'!$H$20:$Q$20/(1+$C40)^'DCF + DDM'!$H$12:$Q$12)+'DCF + DDM'!$Q$20*(1+F$33)/($C40-F$33)/(1+$C40)^'DCF + DDM'!$Q$12)/'DCF + DDM'!$D$38</f>
        <v>127.03105471004217</v>
      </c>
      <c r="G40" s="275" cm="1">
        <f t="array" ref="G40">(SUMPRODUCT('DCF + DDM'!$H$20:$Q$20/(1+$C40)^'DCF + DDM'!$H$12:$Q$12)+'DCF + DDM'!$Q$20*(1+G$33)/($C40-G$33)/(1+$C40)^'DCF + DDM'!$Q$12)/'DCF + DDM'!$D$38</f>
        <v>138.17443066215088</v>
      </c>
      <c r="H40" s="275" cm="1">
        <f t="array" ref="H40">(SUMPRODUCT('DCF + DDM'!$H$20:$Q$20/(1+$C40)^'DCF + DDM'!$H$12:$Q$12)+'DCF + DDM'!$Q$20*(1+H$33)/($C40-H$33)/(1+$C40)^'DCF + DDM'!$Q$12)/'DCF + DDM'!$D$38</f>
        <v>151.93946090621287</v>
      </c>
      <c r="I40" s="275" cm="1">
        <f t="array" ref="I40">(SUMPRODUCT('DCF + DDM'!$H$20:$Q$20/(1+$C40)^'DCF + DDM'!$H$12:$Q$12)+'DCF + DDM'!$Q$20*(1+I$33)/($C40-I$33)/(1+$C40)^'DCF + DDM'!$Q$12)/'DCF + DDM'!$D$38</f>
        <v>169.37466368943439</v>
      </c>
      <c r="J40" s="276" cm="1">
        <f t="array" ref="J40">(SUMPRODUCT('DCF + DDM'!$H$20:$Q$20/(1+$C40)^'DCF + DDM'!$H$12:$Q$12)+'DCF + DDM'!$Q$20*(1+J$33)/($C40-J$33)/(1+$C40)^'DCF + DDM'!$Q$12)/'DCF + DDM'!$D$38</f>
        <v>192.17369740149596</v>
      </c>
    </row>
  </sheetData>
  <mergeCells count="9">
    <mergeCell ref="B34:B40"/>
    <mergeCell ref="B2:J2"/>
    <mergeCell ref="B20:B26"/>
    <mergeCell ref="D4:J4"/>
    <mergeCell ref="D18:J18"/>
    <mergeCell ref="D32:J32"/>
    <mergeCell ref="B30:J30"/>
    <mergeCell ref="B16:J16"/>
    <mergeCell ref="B6:B12"/>
  </mergeCells>
  <conditionalFormatting sqref="D6:J12 D20:J26 D34:J40">
    <cfRule type="colorScale" priority="1">
      <colorScale>
        <cfvo type="min"/>
        <cfvo type="percentile" val="5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A36"/>
  <sheetViews>
    <sheetView tabSelected="1" zoomScale="120" zoomScaleNormal="120" workbookViewId="0">
      <pane ySplit="1" topLeftCell="A2" activePane="bottomLeft" state="frozen"/>
      <selection pane="bottomLeft" activeCell="S45" sqref="S45"/>
    </sheetView>
  </sheetViews>
  <sheetFormatPr defaultColWidth="8.7109375" defaultRowHeight="15" x14ac:dyDescent="0.25"/>
  <cols>
    <col min="2" max="2" width="31.5703125" customWidth="1"/>
    <col min="3" max="17" width="12.28515625" customWidth="1"/>
    <col min="18" max="18" width="16.85546875" customWidth="1"/>
    <col min="19" max="19" width="19.42578125" customWidth="1"/>
    <col min="21" max="21" width="38.140625" customWidth="1"/>
    <col min="22" max="26" width="13.28515625" customWidth="1"/>
    <col min="27" max="27" width="45.7109375" customWidth="1"/>
  </cols>
  <sheetData>
    <row r="1" spans="2:27" ht="18.75" x14ac:dyDescent="0.3">
      <c r="C1" s="12">
        <v>2021</v>
      </c>
      <c r="D1" s="13">
        <v>2022</v>
      </c>
      <c r="E1" s="13">
        <v>2023</v>
      </c>
      <c r="F1" s="13">
        <v>2024</v>
      </c>
      <c r="G1" s="14">
        <v>2025</v>
      </c>
      <c r="H1" s="15">
        <v>2026</v>
      </c>
      <c r="I1" s="15">
        <v>2027</v>
      </c>
      <c r="J1" s="15">
        <v>2028</v>
      </c>
      <c r="K1" s="15">
        <v>2029</v>
      </c>
      <c r="L1" s="16">
        <v>2030</v>
      </c>
      <c r="M1" s="16">
        <v>2031</v>
      </c>
      <c r="N1" s="16">
        <v>2032</v>
      </c>
      <c r="O1" s="16">
        <v>2033</v>
      </c>
      <c r="P1" s="16">
        <v>2034</v>
      </c>
      <c r="Q1" s="16">
        <v>2035</v>
      </c>
      <c r="U1" s="318"/>
    </row>
    <row r="3" spans="2:27" x14ac:dyDescent="0.25">
      <c r="B3" s="18" t="s">
        <v>1292</v>
      </c>
      <c r="C3" s="18"/>
      <c r="D3" s="18"/>
      <c r="E3" s="18"/>
      <c r="F3" s="18"/>
      <c r="G3" s="18"/>
      <c r="H3" s="18"/>
      <c r="I3" s="18"/>
      <c r="J3" s="18"/>
      <c r="K3" s="18"/>
      <c r="L3" s="18"/>
      <c r="M3" s="18"/>
      <c r="N3" s="18"/>
      <c r="O3" s="18"/>
      <c r="P3" s="18"/>
      <c r="Q3" s="18"/>
      <c r="R3" s="277" t="s">
        <v>1293</v>
      </c>
      <c r="S3" s="277" t="s">
        <v>1294</v>
      </c>
      <c r="U3" s="331" t="s">
        <v>1322</v>
      </c>
      <c r="V3" s="332" t="s">
        <v>1323</v>
      </c>
      <c r="W3" s="332" t="s">
        <v>22</v>
      </c>
      <c r="X3" s="332" t="s">
        <v>1324</v>
      </c>
      <c r="Y3" s="332" t="s">
        <v>1325</v>
      </c>
      <c r="Z3" s="332" t="s">
        <v>1326</v>
      </c>
      <c r="AA3" s="333" t="s">
        <v>1327</v>
      </c>
    </row>
    <row r="4" spans="2:27" x14ac:dyDescent="0.25">
      <c r="B4" s="22" t="s">
        <v>1288</v>
      </c>
      <c r="C4" s="279">
        <f>+IS!C28</f>
        <v>0.28736613378860781</v>
      </c>
      <c r="D4" s="279">
        <f>+IS!D28</f>
        <v>0.29271012405333829</v>
      </c>
      <c r="E4" s="279">
        <f>+IS!E28</f>
        <v>0.29128079678490304</v>
      </c>
      <c r="F4" s="279">
        <f>+IS!F28</f>
        <v>0.22702944751263407</v>
      </c>
      <c r="G4" s="279">
        <f>+IS!G28</f>
        <v>0.29784445091756478</v>
      </c>
      <c r="H4" s="279">
        <f>+IS!H28</f>
        <v>0.28380112721933648</v>
      </c>
      <c r="I4" s="279">
        <f>+IS!I28</f>
        <v>0.2901506674937151</v>
      </c>
      <c r="J4" s="279">
        <f>+IS!J28</f>
        <v>0.29270077531658828</v>
      </c>
      <c r="K4" s="279">
        <f>+IS!K28</f>
        <v>0.29251502979260552</v>
      </c>
      <c r="L4" s="279">
        <f>+IS!L28</f>
        <v>0.29718169645927228</v>
      </c>
      <c r="M4" s="279">
        <f>+IS!M28</f>
        <v>0.30218169645927229</v>
      </c>
      <c r="N4" s="279">
        <f>+IS!N28</f>
        <v>0.30718169645927224</v>
      </c>
      <c r="O4" s="279">
        <f>+IS!O28</f>
        <v>0.31218169645927218</v>
      </c>
      <c r="P4" s="279">
        <f>+IS!P28</f>
        <v>0.31718169645927224</v>
      </c>
      <c r="Q4" s="279">
        <f>+IS!Q28</f>
        <v>0.3221816964592723</v>
      </c>
      <c r="R4" s="280">
        <f>+AVERAGE(C4:G4)</f>
        <v>0.27924619061140959</v>
      </c>
      <c r="S4" s="280">
        <f>+AVERAGE(H4:Q4)</f>
        <v>0.30172577785778792</v>
      </c>
      <c r="U4" s="22" t="s">
        <v>1328</v>
      </c>
      <c r="V4" s="323">
        <f>MIN(Sensitivity!F8:H10)</f>
        <v>85.36868961437915</v>
      </c>
      <c r="W4" s="323">
        <f>'DCF + DDM'!D40</f>
        <v>92.135194959818691</v>
      </c>
      <c r="X4" s="323">
        <f>MAX(Sensitivity!F8:H10)</f>
        <v>99.39787007915541</v>
      </c>
      <c r="Y4" s="321">
        <f>X4-V4</f>
        <v>14.02918046477626</v>
      </c>
      <c r="Z4" s="322">
        <f ca="1">W4/$V$25-1</f>
        <v>-6.2000327923773524E-3</v>
      </c>
      <c r="AA4" s="330" t="s">
        <v>1329</v>
      </c>
    </row>
    <row r="5" spans="2:27" x14ac:dyDescent="0.25">
      <c r="B5" s="22" t="s">
        <v>1289</v>
      </c>
      <c r="C5" s="279">
        <f>+IS!C62</f>
        <v>0.33377299999999999</v>
      </c>
      <c r="D5" s="279">
        <f>+IS!D62</f>
        <v>0.33120399999999994</v>
      </c>
      <c r="E5" s="279">
        <f>+IS!E62</f>
        <v>0.32458900000000002</v>
      </c>
      <c r="F5" s="279">
        <f>+IS!F62</f>
        <v>0.25767099999999998</v>
      </c>
      <c r="G5" s="279">
        <f>+IS!G62</f>
        <v>0.32811799999999997</v>
      </c>
      <c r="H5" s="279">
        <f>+IS!H62</f>
        <v>0.3070472304197715</v>
      </c>
      <c r="I5" s="279">
        <f>+IS!I62</f>
        <v>0.31515874020580448</v>
      </c>
      <c r="J5" s="279">
        <f>+IS!J62</f>
        <v>0.31778964296481149</v>
      </c>
      <c r="K5" s="279">
        <f>+IS!K62</f>
        <v>0.32094662867514051</v>
      </c>
      <c r="L5" s="279">
        <f>+IS!L62</f>
        <v>0.32594662867514057</v>
      </c>
      <c r="M5" s="279">
        <f>+IS!M62</f>
        <v>0.33094662867514058</v>
      </c>
      <c r="N5" s="279">
        <f>+IS!N62</f>
        <v>0.33594662867514052</v>
      </c>
      <c r="O5" s="279">
        <f>+IS!O62</f>
        <v>0.34094662867514053</v>
      </c>
      <c r="P5" s="279">
        <f>+IS!P62</f>
        <v>0.34594662867514053</v>
      </c>
      <c r="Q5" s="279">
        <f>+IS!Q62</f>
        <v>0.35094662867514059</v>
      </c>
      <c r="R5" s="281">
        <f>+AVERAGE(C5:G5)</f>
        <v>0.31507099999999999</v>
      </c>
      <c r="S5" s="281">
        <f>+AVERAGE(H5:Q5)</f>
        <v>0.32916220143163716</v>
      </c>
      <c r="U5" s="22" t="s">
        <v>1330</v>
      </c>
      <c r="V5" s="323">
        <f>MIN(Sensitivity!F22:H24)</f>
        <v>74.615041977254563</v>
      </c>
      <c r="W5" s="323">
        <f>'DCF + DDM'!D41</f>
        <v>88.048145879713061</v>
      </c>
      <c r="X5" s="323">
        <f>MAX(Sensitivity!F22:H24)</f>
        <v>108.6851492049945</v>
      </c>
      <c r="Y5" s="321">
        <f>X5-V5</f>
        <v>34.070107227739939</v>
      </c>
      <c r="Z5" s="322">
        <f ca="1">W5/$V$25-1</f>
        <v>-5.0284264052280592E-2</v>
      </c>
      <c r="AA5" s="330" t="s">
        <v>1331</v>
      </c>
    </row>
    <row r="6" spans="2:27" x14ac:dyDescent="0.25">
      <c r="B6" s="22" t="s">
        <v>1290</v>
      </c>
      <c r="C6" s="279">
        <f>+IS!C47</f>
        <v>0.25360856743752908</v>
      </c>
      <c r="D6" s="279">
        <f>+IS!D47</f>
        <v>0.22234353946940483</v>
      </c>
      <c r="E6" s="279">
        <f>+IS!E47</f>
        <v>0.23377162327450637</v>
      </c>
      <c r="F6" s="279">
        <f>+IS!F47</f>
        <v>0.22707209416380578</v>
      </c>
      <c r="G6" s="279">
        <f>+IS!G47</f>
        <v>0.27333444301111065</v>
      </c>
      <c r="H6" s="279">
        <f>+IS!H47</f>
        <v>0.21410955502572387</v>
      </c>
      <c r="I6" s="279">
        <f>+IS!I47</f>
        <v>0.21905590121019183</v>
      </c>
      <c r="J6" s="279">
        <f>+IS!J47</f>
        <v>0.22213107199363047</v>
      </c>
      <c r="K6" s="279">
        <f>+IS!K47</f>
        <v>0.22270358822382141</v>
      </c>
      <c r="L6" s="279">
        <f>+IS!L47</f>
        <v>0.22712605852851248</v>
      </c>
      <c r="M6" s="279">
        <f>+IS!M47</f>
        <v>0.23181318732171965</v>
      </c>
      <c r="N6" s="279">
        <f>+IS!N47</f>
        <v>0.23647210341583016</v>
      </c>
      <c r="O6" s="279">
        <f>+IS!O47</f>
        <v>0.24113143906280735</v>
      </c>
      <c r="P6" s="279">
        <f>+IS!P47</f>
        <v>0.24571837408813008</v>
      </c>
      <c r="Q6" s="279">
        <f>+IS!Q47</f>
        <v>0.25030434125516038</v>
      </c>
      <c r="R6" s="281">
        <f>+AVERAGE(C6:G6)</f>
        <v>0.24202605347127135</v>
      </c>
      <c r="S6" s="281">
        <f>+AVERAGE(H6:Q6)</f>
        <v>0.23105656201255279</v>
      </c>
      <c r="U6" s="22" t="s">
        <v>1332</v>
      </c>
      <c r="V6" s="323">
        <f>MIN(Sensitivity!F36:H38)</f>
        <v>69.881142967913078</v>
      </c>
      <c r="W6" s="323">
        <f>'DCF + DDM'!D42</f>
        <v>82.769201641041079</v>
      </c>
      <c r="X6" s="323">
        <f>MAX(Sensitivity!F36:H38)</f>
        <v>101.79063925798064</v>
      </c>
      <c r="Y6" s="321">
        <f>X6-V6</f>
        <v>31.909496290067565</v>
      </c>
      <c r="Z6" s="322">
        <f ca="1">W6/$V$25-1</f>
        <v>-0.10722466140609332</v>
      </c>
      <c r="AA6" s="330" t="s">
        <v>1333</v>
      </c>
    </row>
    <row r="7" spans="2:27" x14ac:dyDescent="0.25">
      <c r="B7" s="22" t="s">
        <v>1291</v>
      </c>
      <c r="C7" s="282">
        <f>+(IS!C54/IS!C57)</f>
        <v>1.0057937427578214</v>
      </c>
      <c r="D7" s="282">
        <f>+(IS!D54/IS!D57)</f>
        <v>1.0050831792975969</v>
      </c>
      <c r="E7" s="282">
        <f>+(IS!E54/IS!E57)</f>
        <v>1.0037011334721258</v>
      </c>
      <c r="F7" s="282">
        <f>+(IS!F54/IS!F57)</f>
        <v>1.0025527964724994</v>
      </c>
      <c r="G7" s="282">
        <f>+(IS!G54/IS!G57)</f>
        <v>1.0023239600278877</v>
      </c>
      <c r="H7" s="282">
        <f>+(IS!H54/IS!H57)</f>
        <v>1.0038909624055863</v>
      </c>
      <c r="I7" s="282">
        <f ca="1">+(IS!I54/IS!I57)</f>
        <v>1.0038909624055865</v>
      </c>
      <c r="J7" s="282">
        <f ca="1">+(IS!J54/IS!J57)</f>
        <v>1.0038909624055863</v>
      </c>
      <c r="K7" s="282">
        <f ca="1">+(IS!K54/IS!K57)</f>
        <v>1.0038909624055865</v>
      </c>
      <c r="L7" s="282">
        <f ca="1">+(IS!L54/IS!L57)</f>
        <v>1.0038909624055865</v>
      </c>
      <c r="M7" s="282">
        <f ca="1">+(IS!M54/IS!M57)</f>
        <v>1.0038909624055863</v>
      </c>
      <c r="N7" s="282">
        <f ca="1">+(IS!N54/IS!N57)</f>
        <v>1.0038909624055861</v>
      </c>
      <c r="O7" s="282">
        <f ca="1">+(IS!O54/IS!O57)</f>
        <v>1.0038909624055863</v>
      </c>
      <c r="P7" s="282">
        <f ca="1">+(IS!P54/IS!P57)</f>
        <v>1.0038909624055863</v>
      </c>
      <c r="Q7" s="282">
        <f ca="1">+(IS!Q54/IS!Q57)</f>
        <v>1.0038909624055861</v>
      </c>
      <c r="R7" s="283">
        <f>+AVERAGE(C7:G7)</f>
        <v>1.0038909624055863</v>
      </c>
      <c r="S7" s="284">
        <f ca="1">+AVERAGE(H7:Q7)</f>
        <v>1.0038909624055865</v>
      </c>
      <c r="U7" s="22" t="s">
        <v>1334</v>
      </c>
      <c r="V7" s="321">
        <f>V17*$V$15</f>
        <v>43.372445558293911</v>
      </c>
      <c r="W7" s="321">
        <f>V18*$V$15</f>
        <v>50.420717023707375</v>
      </c>
      <c r="X7" s="321">
        <f>V19*$V$15</f>
        <v>63.155224021733545</v>
      </c>
      <c r="Y7" s="321">
        <f>X7-V7</f>
        <v>19.782778463439634</v>
      </c>
      <c r="Z7" s="322">
        <f ca="1">W7/$V$25-1</f>
        <v>-0.45614586318943606</v>
      </c>
      <c r="AA7" s="330" t="s">
        <v>1335</v>
      </c>
    </row>
    <row r="8" spans="2:27" x14ac:dyDescent="0.25">
      <c r="U8" s="22" t="s">
        <v>1336</v>
      </c>
      <c r="V8" s="321">
        <f>$V$16/V22</f>
        <v>54.9204794008796</v>
      </c>
      <c r="W8" s="321">
        <f>$V$16/V21</f>
        <v>67.522260190957908</v>
      </c>
      <c r="X8" s="321">
        <f>$V$16/V20</f>
        <v>75.653935131836491</v>
      </c>
      <c r="Y8" s="321">
        <f>X8-V8</f>
        <v>20.733455730956891</v>
      </c>
      <c r="Z8" s="322">
        <f ca="1">W8/$V$25-1</f>
        <v>-0.27168309577221539</v>
      </c>
      <c r="AA8" s="330" t="s">
        <v>1337</v>
      </c>
    </row>
    <row r="9" spans="2:27" x14ac:dyDescent="0.25">
      <c r="B9" s="18" t="s">
        <v>1295</v>
      </c>
      <c r="C9" s="18"/>
      <c r="D9" s="18"/>
      <c r="E9" s="18"/>
      <c r="F9" s="18"/>
      <c r="G9" s="18"/>
      <c r="H9" s="18"/>
      <c r="I9" s="18"/>
      <c r="J9" s="18"/>
      <c r="K9" s="18"/>
      <c r="L9" s="18"/>
      <c r="M9" s="18"/>
      <c r="N9" s="18"/>
      <c r="O9" s="18"/>
      <c r="P9" s="18"/>
      <c r="Q9" s="18"/>
      <c r="R9" s="277" t="s">
        <v>1293</v>
      </c>
      <c r="S9" s="277" t="s">
        <v>1294</v>
      </c>
      <c r="V9" s="319"/>
      <c r="W9" s="319"/>
      <c r="X9" s="319"/>
      <c r="Y9" s="319"/>
      <c r="Z9" s="320"/>
    </row>
    <row r="10" spans="2:27" x14ac:dyDescent="0.25">
      <c r="B10" s="22" t="s">
        <v>1248</v>
      </c>
      <c r="C10" s="285">
        <f>+IS!C51/(BS!C44-BS!C43)</f>
        <v>0.42484455845906344</v>
      </c>
      <c r="D10" s="285">
        <f>+IS!D51/(BS!D44-BS!D43)</f>
        <v>0.39585148309479362</v>
      </c>
      <c r="E10" s="285">
        <f>+IS!E51/(BS!E44-BS!E43)</f>
        <v>0.41301414748853166</v>
      </c>
      <c r="F10" s="285">
        <f>+IS!F51/(BS!F44-BS!F43)</f>
        <v>0.42770357257804958</v>
      </c>
      <c r="G10" s="285">
        <f>+IS!G51/(BS!G44-BS!G43)</f>
        <v>0.40744194721626409</v>
      </c>
      <c r="H10" s="285">
        <f>+IS!H51/(BS!H44-BS!H43)</f>
        <v>0.29831104964751559</v>
      </c>
      <c r="I10" s="285">
        <f>+IS!I51/(BS!I44-BS!I43)</f>
        <v>0.30244971418463584</v>
      </c>
      <c r="J10" s="285">
        <f>+IS!J51/(BS!J44-BS!J43)</f>
        <v>0.31927027013572307</v>
      </c>
      <c r="K10" s="285">
        <f>+IS!K51/(BS!K44-BS!K43)</f>
        <v>0.33470741352912176</v>
      </c>
      <c r="L10" s="285">
        <f>+IS!L51/(BS!L44-BS!L43)</f>
        <v>0.35522345761032204</v>
      </c>
      <c r="M10" s="285">
        <f>+IS!M51/(BS!M44-BS!M43)</f>
        <v>0.37780482680682959</v>
      </c>
      <c r="N10" s="285">
        <f>+IS!N51/(BS!N44-BS!N43)</f>
        <v>0.40160612200814905</v>
      </c>
      <c r="O10" s="285">
        <f>+IS!O51/(BS!O44-BS!O43)</f>
        <v>0.42785349218389568</v>
      </c>
      <c r="P10" s="285">
        <f>+IS!P51/(BS!P44-BS!P43)</f>
        <v>0.45346326948748183</v>
      </c>
      <c r="Q10" s="285">
        <f>+IS!Q51/(BS!Q44-BS!Q43)</f>
        <v>0.48135473172380988</v>
      </c>
      <c r="R10" s="280">
        <f>+AVERAGE(C10:G10)</f>
        <v>0.41377114176734048</v>
      </c>
      <c r="S10" s="280">
        <f>+AVERAGE(H10:Q10)</f>
        <v>0.37520443473174842</v>
      </c>
      <c r="U10" s="170" t="s">
        <v>1338</v>
      </c>
      <c r="V10" s="324">
        <f>AVERAGE(V4:V8)</f>
        <v>65.631559903744076</v>
      </c>
      <c r="W10" s="324">
        <f>AVERAGE(W4:W8)</f>
        <v>76.179103939047621</v>
      </c>
      <c r="X10" s="324">
        <f>AVERAGE(X4:X8)</f>
        <v>89.736563539140121</v>
      </c>
      <c r="Y10" s="324">
        <f>X10-V10</f>
        <v>24.105003635396045</v>
      </c>
      <c r="Z10" s="325">
        <f ca="1">W10/$V$25-1</f>
        <v>-0.17830758344248054</v>
      </c>
      <c r="AA10" s="170"/>
    </row>
    <row r="11" spans="2:27" x14ac:dyDescent="0.25">
      <c r="B11" s="22" t="s">
        <v>1296</v>
      </c>
      <c r="C11" s="285">
        <f>+'DCF + DDM'!C6/(BS!C9+BS!C10+BS!C11-BS!C24-BS!C25-BS!C26+BS!C17)</f>
        <v>0.14080402461483177</v>
      </c>
      <c r="D11" s="285">
        <f>+'DCF + DDM'!D6/(BS!D9+BS!D10+BS!D11-BS!D24-BS!D25-BS!D26+BS!D17)</f>
        <v>0.14744501290631715</v>
      </c>
      <c r="E11" s="285">
        <f>+'DCF + DDM'!E6/(BS!E9+BS!E10+BS!E11-BS!E24-BS!E25-BS!E26+BS!E17)</f>
        <v>0.14376696531535529</v>
      </c>
      <c r="F11" s="285">
        <f>+'DCF + DDM'!F6/(BS!F9+BS!F10+BS!F11-BS!F24-BS!F25-BS!F26+BS!F17)</f>
        <v>0.11401045615365177</v>
      </c>
      <c r="G11" s="285">
        <f>+'DCF + DDM'!G6/(BS!G9+BS!G10+BS!G11-BS!G24-BS!G25-BS!G26+BS!G17)</f>
        <v>0.15812333449974431</v>
      </c>
      <c r="H11" s="285">
        <f>+'DCF + DDM'!H6/(BS!H9+BS!H10+BS!H11-BS!H24-BS!H25-BS!H26+BS!H17)</f>
        <v>0.14202768477074112</v>
      </c>
      <c r="I11" s="285">
        <f>+'DCF + DDM'!I6/(BS!I9+BS!I10+BS!I11-BS!I24-BS!I25-BS!I26+BS!I17)</f>
        <v>0.14592365622235118</v>
      </c>
      <c r="J11" s="285">
        <f>+'DCF + DDM'!J6/(BS!J9+BS!J10+BS!J11-BS!J24-BS!J25-BS!J26+BS!J17)</f>
        <v>0.15368344880722706</v>
      </c>
      <c r="K11" s="285">
        <f>+'DCF + DDM'!K6/(BS!K9+BS!K10+BS!K11-BS!K24-BS!K25-BS!K26+BS!K17)</f>
        <v>0.16061678927819559</v>
      </c>
      <c r="L11" s="285">
        <f>+'DCF + DDM'!L6/(BS!L9+BS!L10+BS!L11-BS!L24-BS!L25-BS!L26+BS!L17)</f>
        <v>0.169885709104209</v>
      </c>
      <c r="M11" s="285">
        <f>+'DCF + DDM'!M6/(BS!M9+BS!M10+BS!M11-BS!M24-BS!M25-BS!M26+BS!M17)</f>
        <v>0.18002539800713988</v>
      </c>
      <c r="N11" s="285">
        <f>+'DCF + DDM'!N6/(BS!N9+BS!N10+BS!N11-BS!N24-BS!N25-BS!N26+BS!N17)</f>
        <v>0.19067299134841723</v>
      </c>
      <c r="O11" s="285">
        <f>+'DCF + DDM'!O6/(BS!O9+BS!O10+BS!O11-BS!O24-BS!O25-BS!O26+BS!O17)</f>
        <v>0.20230599246418066</v>
      </c>
      <c r="P11" s="285">
        <f>+'DCF + DDM'!P6/(BS!P9+BS!P10+BS!P11-BS!P24-BS!P25-BS!P26+BS!P17)</f>
        <v>0.21370551143097299</v>
      </c>
      <c r="Q11" s="285">
        <f>+'DCF + DDM'!Q6/(BS!Q9+BS!Q10+BS!Q11-BS!Q24-BS!Q25-BS!Q26+BS!Q17)</f>
        <v>0.22600837756428496</v>
      </c>
      <c r="R11" s="281">
        <f>+AVERAGE(C11:G11)</f>
        <v>0.14082995869798007</v>
      </c>
      <c r="S11" s="281">
        <f>+AVERAGE(H11:Q11)</f>
        <v>0.17848555589977194</v>
      </c>
    </row>
    <row r="12" spans="2:27" x14ac:dyDescent="0.25">
      <c r="B12" s="22" t="s">
        <v>1297</v>
      </c>
      <c r="C12" s="285">
        <f>+IS!C27/(BS!C19-BS!C28)</f>
        <v>0.14930648889844633</v>
      </c>
      <c r="D12" s="285">
        <f>+IS!D27/(BS!D19-BS!D28)</f>
        <v>0.17251057654129986</v>
      </c>
      <c r="E12" s="285">
        <f>+IS!E27/(BS!E19-BS!E28)</f>
        <v>0.17989532185830681</v>
      </c>
      <c r="F12" s="285">
        <f>+IS!F27/(BS!F19-BS!F28)</f>
        <v>0.14139442231075697</v>
      </c>
      <c r="G12" s="285">
        <f>+IS!G27/(BS!G19-BS!G28)</f>
        <v>0.17136529598371941</v>
      </c>
      <c r="H12" s="285">
        <f>+IS!H27/(BS!H19-BS!H28)</f>
        <v>0.16063140993468245</v>
      </c>
      <c r="I12" s="285">
        <f>+IS!I27/(BS!I19-BS!I28)</f>
        <v>0.16469379775949897</v>
      </c>
      <c r="J12" s="285">
        <f>+IS!J27/(BS!J19-BS!J28)</f>
        <v>0.17341417266031064</v>
      </c>
      <c r="K12" s="285">
        <f>+IS!K27/(BS!K19-BS!K28)</f>
        <v>0.18119641097331649</v>
      </c>
      <c r="L12" s="285">
        <f>+IS!L27/(BS!L19-BS!L28)</f>
        <v>0.19158314681760921</v>
      </c>
      <c r="M12" s="285">
        <f>+IS!M27/(BS!M19-BS!M28)</f>
        <v>0.20295263600496719</v>
      </c>
      <c r="N12" s="285">
        <f>+IS!N27/(BS!N19-BS!N28)</f>
        <v>0.21490734101493783</v>
      </c>
      <c r="O12" s="285">
        <f>+IS!O27/(BS!O19-BS!O28)</f>
        <v>0.22797498653309045</v>
      </c>
      <c r="P12" s="285">
        <f>+IS!P27/(BS!P19-BS!P28)</f>
        <v>0.24081827158521377</v>
      </c>
      <c r="Q12" s="285">
        <f>+IS!Q27/(BS!Q19-BS!Q28)</f>
        <v>0.25468952055423272</v>
      </c>
      <c r="R12" s="281">
        <f>+AVERAGE(C12:G12)</f>
        <v>0.16289442111850588</v>
      </c>
      <c r="S12" s="281">
        <f>+AVERAGE(H12:Q12)</f>
        <v>0.20128616938378596</v>
      </c>
    </row>
    <row r="13" spans="2:27" x14ac:dyDescent="0.25">
      <c r="B13" s="22" t="s">
        <v>1298</v>
      </c>
      <c r="C13" s="285">
        <f>+IS!C46/BS!C19</f>
        <v>0.10390656463954893</v>
      </c>
      <c r="D13" s="285">
        <f>+IS!D46/BS!D19</f>
        <v>0.10317691320893028</v>
      </c>
      <c r="E13" s="285">
        <f>+IS!E46/BS!E19</f>
        <v>0.10954627800579307</v>
      </c>
      <c r="F13" s="285">
        <f>+IS!F46/BS!F19</f>
        <v>0.10590856199464938</v>
      </c>
      <c r="G13" s="285">
        <f>+IS!G46/BS!G19</f>
        <v>0.12533391848572736</v>
      </c>
      <c r="H13" s="285">
        <f>+IS!H46/BS!H19</f>
        <v>9.8978011018825085E-2</v>
      </c>
      <c r="I13" s="285">
        <f>+IS!I46/BS!I19</f>
        <v>0.1015513318323772</v>
      </c>
      <c r="J13" s="285">
        <f>+IS!J46/BS!J19</f>
        <v>0.10684262389898752</v>
      </c>
      <c r="K13" s="285">
        <f>+IS!K46/BS!K19</f>
        <v>0.11126964391712153</v>
      </c>
      <c r="L13" s="285">
        <f>+IS!L46/BS!L19</f>
        <v>0.11738071044055592</v>
      </c>
      <c r="M13" s="285">
        <f>+IS!M46/BS!M19</f>
        <v>0.12400324377928729</v>
      </c>
      <c r="N13" s="285">
        <f>+IS!N46/BS!N19</f>
        <v>0.13088428876978217</v>
      </c>
      <c r="O13" s="285">
        <f>+IS!O46/BS!O19</f>
        <v>0.13829437993193619</v>
      </c>
      <c r="P13" s="285">
        <f>+IS!P46/BS!P19</f>
        <v>0.14551637700370992</v>
      </c>
      <c r="Q13" s="285">
        <f>+IS!Q46/BS!Q19</f>
        <v>0.1532052515929907</v>
      </c>
      <c r="R13" s="286">
        <f>+AVERAGE(C13:G13)</f>
        <v>0.1095744472669298</v>
      </c>
      <c r="S13" s="286">
        <f>+AVERAGE(H13:Q13)</f>
        <v>0.12279258621855735</v>
      </c>
    </row>
    <row r="14" spans="2:27" x14ac:dyDescent="0.25">
      <c r="B14" s="22" t="s">
        <v>1299</v>
      </c>
      <c r="C14" s="285">
        <f>+CF!C28*-1/IS!C51</f>
        <v>0.74219629515914443</v>
      </c>
      <c r="D14" s="285">
        <f>+CF!D28*-1/IS!D51</f>
        <v>0.79815552295116332</v>
      </c>
      <c r="E14" s="285">
        <f>+CF!E28*-1/IS!E51</f>
        <v>0.74220645883890235</v>
      </c>
      <c r="F14" s="285">
        <f>+CF!F28*-1/IS!F51</f>
        <v>0.78628539177876022</v>
      </c>
      <c r="G14" s="285">
        <f>+CF!G28*-1/IS!G51</f>
        <v>0.66979476615548939</v>
      </c>
      <c r="H14" s="285">
        <f>+CF!H28*-1/IS!H51</f>
        <v>0.73276220559105065</v>
      </c>
      <c r="I14" s="285">
        <f>+CF!I28*-1/IS!I51</f>
        <v>0.73276220559105065</v>
      </c>
      <c r="J14" s="285">
        <f>+CF!J28*-1/IS!J51</f>
        <v>0.73276220559105076</v>
      </c>
      <c r="K14" s="285">
        <f>+CF!K28*-1/IS!K51</f>
        <v>0.73276220559105065</v>
      </c>
      <c r="L14" s="285">
        <f>+CF!L28*-1/IS!L51</f>
        <v>0.73276220559105065</v>
      </c>
      <c r="M14" s="285">
        <f>+CF!M28*-1/IS!M51</f>
        <v>0.73276220559105065</v>
      </c>
      <c r="N14" s="285">
        <f>+CF!N28*-1/IS!N51</f>
        <v>0.73276220559105065</v>
      </c>
      <c r="O14" s="285">
        <f>+CF!O28*-1/IS!O51</f>
        <v>0.73276220559105065</v>
      </c>
      <c r="P14" s="285">
        <f>+CF!P28*-1/IS!P51</f>
        <v>0.73276220559105065</v>
      </c>
      <c r="Q14" s="285">
        <f>+CF!Q28*-1/IS!Q51</f>
        <v>0.73276220559105065</v>
      </c>
      <c r="R14" s="287">
        <f>+AVERAGE(C14:G14)</f>
        <v>0.7477276869766919</v>
      </c>
      <c r="S14" s="287">
        <f>+AVERAGE(H14:Q14)</f>
        <v>0.73276220559105076</v>
      </c>
      <c r="U14" s="39" t="s">
        <v>1339</v>
      </c>
      <c r="V14" s="18"/>
    </row>
    <row r="15" spans="2:27" x14ac:dyDescent="0.25">
      <c r="U15" s="22" t="s">
        <v>1340</v>
      </c>
      <c r="V15" s="326">
        <f>IS!G57</f>
        <v>3.038952005564572</v>
      </c>
    </row>
    <row r="16" spans="2:27" x14ac:dyDescent="0.25">
      <c r="B16" s="201" t="s">
        <v>1300</v>
      </c>
      <c r="C16" s="18"/>
      <c r="D16" s="18"/>
      <c r="E16" s="18"/>
      <c r="F16" s="18"/>
      <c r="G16" s="18"/>
      <c r="H16" s="18"/>
      <c r="I16" s="18"/>
      <c r="J16" s="18"/>
      <c r="K16" s="18"/>
      <c r="L16" s="18"/>
      <c r="M16" s="18"/>
      <c r="N16" s="18"/>
      <c r="O16" s="18"/>
      <c r="P16" s="18"/>
      <c r="Q16" s="18"/>
      <c r="R16" s="277" t="s">
        <v>1293</v>
      </c>
      <c r="S16" s="277" t="s">
        <v>1294</v>
      </c>
      <c r="U16" s="22" t="s">
        <v>1341</v>
      </c>
      <c r="V16" s="326">
        <f>-CF!G28/IS!G58</f>
        <v>2.0354741479248784</v>
      </c>
    </row>
    <row r="17" spans="2:22" x14ac:dyDescent="0.25">
      <c r="B17" s="22" t="s">
        <v>1301</v>
      </c>
      <c r="C17" s="289">
        <f>+BS!C27+BS!C30+BS!C31+BS!C32-BS!C7-BS!C8</f>
        <v>33255</v>
      </c>
      <c r="D17" s="289">
        <f>+BS!D27+BS!D30+BS!D31+BS!D32-BS!D7-BS!D8</f>
        <v>29712</v>
      </c>
      <c r="E17" s="289">
        <f>+BS!E27+BS!E30+BS!E31+BS!E32-BS!E7-BS!E8</f>
        <v>32084</v>
      </c>
      <c r="F17" s="289">
        <f>+BS!F27+BS!F30+BS!F31+BS!F32-BS!F7-BS!F8</f>
        <v>32102</v>
      </c>
      <c r="G17" s="289">
        <f>+BS!G27+BS!G30+BS!G31+BS!G32-BS!G7-BS!G8</f>
        <v>33551</v>
      </c>
      <c r="H17" s="289">
        <f>+BS!H27+BS!H30+BS!H31+BS!H32-BS!H7-BS!H8</f>
        <v>31943.840833184076</v>
      </c>
      <c r="I17" s="289">
        <f>+BS!I27+BS!I30+BS!I31+BS!I32-BS!I7-BS!I8</f>
        <v>31741.986196486723</v>
      </c>
      <c r="J17" s="289">
        <f>+BS!J27+BS!J30+BS!J31+BS!J32-BS!J7-BS!J8</f>
        <v>31832.528154892396</v>
      </c>
      <c r="K17" s="289">
        <f>+BS!K27+BS!K30+BS!K31+BS!K32-BS!K7-BS!K8</f>
        <v>31927.605310435152</v>
      </c>
      <c r="L17" s="289">
        <f>+BS!L27+BS!L30+BS!L31+BS!L32-BS!L7-BS!L8</f>
        <v>32018.447405516148</v>
      </c>
      <c r="M17" s="289">
        <f>+BS!M27+BS!M30+BS!M31+BS!M32-BS!M7-BS!M8</f>
        <v>32115.969204356668</v>
      </c>
      <c r="N17" s="289">
        <f>+BS!N27+BS!N30+BS!N31+BS!N32-BS!N7-BS!N8</f>
        <v>32218.248993069268</v>
      </c>
      <c r="O17" s="289">
        <f>+BS!O27+BS!O30+BS!O31+BS!O32-BS!O7-BS!O8</f>
        <v>32330.339891315445</v>
      </c>
      <c r="P17" s="289">
        <f>+BS!P27+BS!P30+BS!P31+BS!P32-BS!P7-BS!P8</f>
        <v>32439.485584169073</v>
      </c>
      <c r="Q17" s="289">
        <f>+BS!Q27+BS!Q30+BS!Q31+BS!Q32-BS!Q7-BS!Q8</f>
        <v>32557.625248648954</v>
      </c>
      <c r="R17" s="288">
        <f>+AVERAGE(C17:G17)</f>
        <v>32140.799999999999</v>
      </c>
      <c r="S17" s="288">
        <f>+AVERAGE(H17:Q17)</f>
        <v>32112.607682207388</v>
      </c>
      <c r="U17" s="22" t="s">
        <v>1342</v>
      </c>
      <c r="V17" s="327">
        <f>_xlfn.QUARTILE.INC(RV!I5:I17,1)</f>
        <v>14.2721719457482</v>
      </c>
    </row>
    <row r="18" spans="2:22" x14ac:dyDescent="0.25">
      <c r="B18" s="22" t="s">
        <v>1317</v>
      </c>
      <c r="C18" s="290">
        <f>+C17/IS!C61</f>
        <v>2.5773076028830504</v>
      </c>
      <c r="D18" s="290">
        <f>+D17/IS!D61</f>
        <v>2.0840288980851511</v>
      </c>
      <c r="E18" s="290">
        <f>+E17/IS!E61</f>
        <v>2.1589395060897654</v>
      </c>
      <c r="F18" s="290">
        <f>+F17/IS!F61</f>
        <v>2.6565706719629261</v>
      </c>
      <c r="G18" s="290">
        <f>+G17/IS!G61</f>
        <v>2.1275206087507925</v>
      </c>
      <c r="H18" s="290">
        <f>+H17/IS!H61</f>
        <v>2.1173341095525355</v>
      </c>
      <c r="I18" s="290">
        <f>+I17/IS!I61</f>
        <v>2.020495803088469</v>
      </c>
      <c r="J18" s="290">
        <f>+J17/IS!J61</f>
        <v>1.9125271804744171</v>
      </c>
      <c r="K18" s="290">
        <f>+K17/IS!K61</f>
        <v>1.8077770004371856</v>
      </c>
      <c r="L18" s="290">
        <f>+L17/IS!L61</f>
        <v>1.7064839229064845</v>
      </c>
      <c r="M18" s="290">
        <f>+M17/IS!M61</f>
        <v>1.6097069539930347</v>
      </c>
      <c r="N18" s="290">
        <f>+N17/IS!N61</f>
        <v>1.5188768079405168</v>
      </c>
      <c r="O18" s="290">
        <f>+O17/IS!O61</f>
        <v>1.4309099012824349</v>
      </c>
      <c r="P18" s="290">
        <f>+P17/IS!P61</f>
        <v>1.3528028845519677</v>
      </c>
      <c r="Q18" s="290">
        <f>+Q17/IS!Q61</f>
        <v>1.277609741239353</v>
      </c>
      <c r="R18" s="291">
        <f t="shared" ref="R18:R20" si="0">+AVERAGE(C18:G18)</f>
        <v>2.3208734575543373</v>
      </c>
      <c r="S18" s="291">
        <f t="shared" ref="S18:S20" si="1">+AVERAGE(H18:Q18)</f>
        <v>1.6754524305466401</v>
      </c>
      <c r="U18" s="22" t="s">
        <v>1343</v>
      </c>
      <c r="V18" s="327">
        <f>MEDIAN(RV!I5:I17)</f>
        <v>16.5914818435378</v>
      </c>
    </row>
    <row r="19" spans="2:22" x14ac:dyDescent="0.25">
      <c r="B19" s="22" t="s">
        <v>1318</v>
      </c>
      <c r="C19" s="290">
        <f>+C17/BS!C44</f>
        <v>1.3376910699919549</v>
      </c>
      <c r="D19" s="290">
        <f>+D17/BS!D44</f>
        <v>1.1504685200960272</v>
      </c>
      <c r="E19" s="290">
        <f>+E17/BS!E44</f>
        <v>1.1675400291120814</v>
      </c>
      <c r="F19" s="290">
        <f>+F17/BS!F44</f>
        <v>1.2172758986804186</v>
      </c>
      <c r="G19" s="290">
        <f>+G17/BS!G44</f>
        <v>0.97887673231218086</v>
      </c>
      <c r="H19" s="290">
        <f>+H17/BS!H44</f>
        <v>0.8547476296046852</v>
      </c>
      <c r="I19" s="290">
        <f>+I17/BS!I44</f>
        <v>0.83073678289442576</v>
      </c>
      <c r="J19" s="290">
        <f>+J17/BS!J44</f>
        <v>0.82583896138976076</v>
      </c>
      <c r="K19" s="290">
        <f>+K17/BS!K44</f>
        <v>0.82457052089874516</v>
      </c>
      <c r="L19" s="290">
        <f>+L17/BS!L44</f>
        <v>0.82284558403864549</v>
      </c>
      <c r="M19" s="290">
        <f>+M17/BS!M44</f>
        <v>0.82145974934915811</v>
      </c>
      <c r="N19" s="290">
        <f>+N17/BS!N44</f>
        <v>0.82013191298025478</v>
      </c>
      <c r="O19" s="290">
        <f>+O17/BS!O44</f>
        <v>0.81943856983288066</v>
      </c>
      <c r="P19" s="290">
        <f>+P17/BS!P44</f>
        <v>0.81781542138721297</v>
      </c>
      <c r="Q19" s="290">
        <f>+Q17/BS!Q44</f>
        <v>0.81670395962160192</v>
      </c>
      <c r="R19" s="291">
        <f t="shared" si="0"/>
        <v>1.1703704500385326</v>
      </c>
      <c r="S19" s="291">
        <f t="shared" si="1"/>
        <v>0.82542890919973699</v>
      </c>
      <c r="U19" s="22" t="s">
        <v>1344</v>
      </c>
      <c r="V19" s="327">
        <f>_xlfn.QUARTILE.INC(RV!I5:I17,3)</f>
        <v>20.781908995631099</v>
      </c>
    </row>
    <row r="20" spans="2:22" x14ac:dyDescent="0.25">
      <c r="B20" s="22" t="s">
        <v>1319</v>
      </c>
      <c r="C20" s="290">
        <f>+IS!C27/IS!C35</f>
        <v>5.1862745098039218</v>
      </c>
      <c r="D20" s="290">
        <f>+IS!D27/IS!D35</f>
        <v>9.640397857689365</v>
      </c>
      <c r="E20" s="290">
        <f>+IS!E27/IS!E35</f>
        <v>5.4233428222854823</v>
      </c>
      <c r="F20" s="290">
        <f>+IS!F27/IS!F35</f>
        <v>3.9891345073061073</v>
      </c>
      <c r="G20" s="290">
        <f>+IS!G27/IS!G35</f>
        <v>5.9275362318840576</v>
      </c>
      <c r="H20" s="290">
        <f>+IS!H27/IS!H35</f>
        <v>19.231817674725484</v>
      </c>
      <c r="I20" s="290">
        <f>+IS!I27/IS!I35</f>
        <v>19.197226369973201</v>
      </c>
      <c r="J20" s="290">
        <f>+IS!J27/IS!J35</f>
        <v>20.656721906285995</v>
      </c>
      <c r="K20" s="290">
        <f>+IS!K27/IS!K35</f>
        <v>21.586842317001892</v>
      </c>
      <c r="L20" s="290">
        <f>+IS!L27/IS!L35</f>
        <v>22.82819775438065</v>
      </c>
      <c r="M20" s="290">
        <f>+IS!M27/IS!M35</f>
        <v>24.195467919218093</v>
      </c>
      <c r="N20" s="290">
        <f>+IS!N27/IS!N35</f>
        <v>25.63101208553708</v>
      </c>
      <c r="O20" s="290">
        <f>+IS!O27/IS!O35</f>
        <v>27.195501341682625</v>
      </c>
      <c r="P20" s="290">
        <f>+IS!P27/IS!P35</f>
        <v>28.736106207389305</v>
      </c>
      <c r="Q20" s="290">
        <f>+IS!Q27/IS!Q35</f>
        <v>30.4084435386759</v>
      </c>
      <c r="R20" s="292">
        <f t="shared" si="0"/>
        <v>6.0333371857937879</v>
      </c>
      <c r="S20" s="292">
        <f t="shared" si="1"/>
        <v>23.96673371148702</v>
      </c>
      <c r="U20" s="22" t="s">
        <v>1345</v>
      </c>
      <c r="V20" s="101">
        <f>_xlfn.QUARTILE.INC(RV!K5:K17,1)/100</f>
        <v>2.6905066397112175E-2</v>
      </c>
    </row>
    <row r="21" spans="2:22" x14ac:dyDescent="0.25">
      <c r="C21" s="278"/>
      <c r="D21" s="278"/>
      <c r="E21" s="278"/>
      <c r="F21" s="278"/>
      <c r="G21" s="278"/>
      <c r="H21" s="278"/>
      <c r="I21" s="278"/>
      <c r="J21" s="278"/>
      <c r="K21" s="278"/>
      <c r="L21" s="278"/>
      <c r="M21" s="278"/>
      <c r="N21" s="278"/>
      <c r="O21" s="278"/>
      <c r="P21" s="278"/>
      <c r="Q21" s="278"/>
      <c r="R21" s="278"/>
      <c r="S21" s="278"/>
      <c r="U21" s="22" t="s">
        <v>1346</v>
      </c>
      <c r="V21" s="101">
        <f>MEDIAN(RV!K5:K17)/100</f>
        <v>3.0145231249197053E-2</v>
      </c>
    </row>
    <row r="22" spans="2:22" x14ac:dyDescent="0.25">
      <c r="B22" s="201" t="s">
        <v>1302</v>
      </c>
      <c r="C22" s="18"/>
      <c r="D22" s="18"/>
      <c r="E22" s="18"/>
      <c r="F22" s="18"/>
      <c r="G22" s="18"/>
      <c r="H22" s="18"/>
      <c r="I22" s="18"/>
      <c r="J22" s="18"/>
      <c r="K22" s="18"/>
      <c r="L22" s="18"/>
      <c r="M22" s="18"/>
      <c r="N22" s="18"/>
      <c r="O22" s="18"/>
      <c r="P22" s="18"/>
      <c r="Q22" s="18"/>
      <c r="R22" s="277" t="s">
        <v>1293</v>
      </c>
      <c r="S22" s="277" t="s">
        <v>1294</v>
      </c>
      <c r="U22" s="22" t="s">
        <v>1347</v>
      </c>
      <c r="V22" s="101">
        <f>_xlfn.QUARTILE.INC(RV!K5:K17,3)/100</f>
        <v>3.7062206487081001E-2</v>
      </c>
    </row>
    <row r="23" spans="2:22" x14ac:dyDescent="0.25">
      <c r="B23" s="22" t="s">
        <v>1303</v>
      </c>
      <c r="C23" s="279">
        <f>(BS!C9+BS!C10+BS!C11-BS!C24-BS!C25-BS!C26)/IS!C5</f>
        <v>-0.12985669201717626</v>
      </c>
      <c r="D23" s="279">
        <f>(BS!D9+BS!D10+BS!D11-BS!D24-BS!D25-BS!D26)/IS!D5</f>
        <v>-0.12718951818984342</v>
      </c>
      <c r="E23" s="279">
        <f>(BS!E9+BS!E10+BS!E11-BS!E24-BS!E25-BS!E26)/IS!E5</f>
        <v>-7.2798357504805178E-2</v>
      </c>
      <c r="F23" s="279">
        <f>(BS!F9+BS!F10+BS!F11-BS!F24-BS!F25-BS!F26)/IS!F5</f>
        <v>-0.23967417958504808</v>
      </c>
      <c r="G23" s="279">
        <f>(BS!G9+BS!G10+BS!G11-BS!G24-BS!G25-BS!G26)/IS!G5</f>
        <v>1.1027422912071908E-2</v>
      </c>
      <c r="H23" s="279">
        <f>(BS!H9+BS!H10+BS!H11-BS!H24-BS!H25-BS!H26)/IS!H5</f>
        <v>2.4418461025011794E-2</v>
      </c>
      <c r="I23" s="279">
        <f>(BS!I9+BS!I10+BS!I11-BS!I24-BS!I25-BS!I26)/IS!I5</f>
        <v>2.1948457822664583E-2</v>
      </c>
      <c r="J23" s="279">
        <f>(BS!J9+BS!J10+BS!J11-BS!J24-BS!J25-BS!J26)/IS!J5</f>
        <v>1.429367979107085E-2</v>
      </c>
      <c r="K23" s="279">
        <f>(BS!K9+BS!K10+BS!K11-BS!K24-BS!K25-BS!K26)/IS!K5</f>
        <v>7.1109758005282828E-3</v>
      </c>
      <c r="L23" s="279">
        <f>(BS!L9+BS!L10+BS!L11-BS!L24-BS!L25-BS!L26)/IS!L5</f>
        <v>7.0215145135931259E-4</v>
      </c>
      <c r="M23" s="279">
        <f>(BS!M9+BS!M10+BS!M11-BS!M24-BS!M25-BS!M26)/IS!M5</f>
        <v>-5.5927658908499428E-3</v>
      </c>
      <c r="N23" s="279">
        <f>(BS!N9+BS!N10+BS!N11-BS!N24-BS!N25-BS!N26)/IS!N5</f>
        <v>-1.1619153724799837E-2</v>
      </c>
      <c r="O23" s="279">
        <f>(BS!O9+BS!O10+BS!O11-BS!O24-BS!O25-BS!O26)/IS!O5</f>
        <v>-1.7627933213077353E-2</v>
      </c>
      <c r="P23" s="279">
        <f>(BS!P9+BS!P10+BS!P11-BS!P24-BS!P25-BS!P26)/IS!P5</f>
        <v>-2.2976675273336536E-2</v>
      </c>
      <c r="Q23" s="279">
        <f>(BS!Q9+BS!Q10+BS!Q11-BS!Q24-BS!Q25-BS!Q26)/IS!Q5</f>
        <v>-2.8262684644742596E-2</v>
      </c>
      <c r="R23" s="280">
        <f>AVERAGE(C23:G23)</f>
        <v>-0.11169826487696019</v>
      </c>
      <c r="S23" s="280">
        <f>AVERAGE(H23:Q23)</f>
        <v>-1.7605486856171442E-3</v>
      </c>
    </row>
    <row r="24" spans="2:22" x14ac:dyDescent="0.25">
      <c r="B24" s="22" t="s">
        <v>1304</v>
      </c>
      <c r="C24" s="294">
        <f>+BS!C12/BS!C28</f>
        <v>1.1300751879699249</v>
      </c>
      <c r="D24" s="294">
        <f>+BS!D12/BS!D28</f>
        <v>1.1453559115798013</v>
      </c>
      <c r="E24" s="294">
        <f>+BS!E12/BS!E28</f>
        <v>1.1341054685842773</v>
      </c>
      <c r="F24" s="294">
        <f>+BS!F12/BS!F28</f>
        <v>1.0296249356410154</v>
      </c>
      <c r="G24" s="294">
        <f>+BS!G12/BS!G28</f>
        <v>1.4587660354306657</v>
      </c>
      <c r="H24" s="294">
        <f>+BS!H12/BS!H28</f>
        <v>1.6201025306737666</v>
      </c>
      <c r="I24" s="294">
        <f>+BS!I12/BS!I28</f>
        <v>1.6190825881984223</v>
      </c>
      <c r="J24" s="294">
        <f>+BS!J12/BS!J28</f>
        <v>1.5786150967900299</v>
      </c>
      <c r="K24" s="294">
        <f>+BS!K12/BS!K28</f>
        <v>1.5397071775555817</v>
      </c>
      <c r="L24" s="294">
        <f>+BS!L12/BS!L28</f>
        <v>1.5045691110297903</v>
      </c>
      <c r="M24" s="294">
        <f>+BS!M12/BS!M28</f>
        <v>1.4694775194219782</v>
      </c>
      <c r="N24" s="294">
        <f>+BS!N12/BS!N28</f>
        <v>1.4353258931268829</v>
      </c>
      <c r="O24" s="294">
        <f>+BS!O12/BS!O28</f>
        <v>1.4007071385124035</v>
      </c>
      <c r="P24" s="294">
        <f>+BS!P12/BS!P28</f>
        <v>1.3694445094716312</v>
      </c>
      <c r="Q24" s="294">
        <f>+BS!Q12/BS!Q28</f>
        <v>1.3380966280994611</v>
      </c>
      <c r="R24" s="293">
        <f t="shared" ref="R24:R25" si="2">+AVERAGE(C24:G24)</f>
        <v>1.1795855078411368</v>
      </c>
      <c r="S24" s="293">
        <f t="shared" ref="S24:S25" si="3">+AVERAGE(H24:Q24)</f>
        <v>1.4875128192879949</v>
      </c>
    </row>
    <row r="25" spans="2:22" x14ac:dyDescent="0.25">
      <c r="B25" s="22" t="s">
        <v>1305</v>
      </c>
      <c r="C25" s="294">
        <f>+BS!C7/BS!C28</f>
        <v>0.48541353383458646</v>
      </c>
      <c r="D25" s="294">
        <f>+BS!D7/BS!D28</f>
        <v>0.48261001825187588</v>
      </c>
      <c r="E25" s="294">
        <f>+BS!E7/BS!E28</f>
        <v>0.39735267913962075</v>
      </c>
      <c r="F25" s="294">
        <f>+BS!F7/BS!F28</f>
        <v>0.42884866727395143</v>
      </c>
      <c r="G25" s="294">
        <f>+BS!G7/BS!G28</f>
        <v>0.48259010384850337</v>
      </c>
      <c r="H25" s="294">
        <f>+BS!H7/BS!H28</f>
        <v>0.50172310933773467</v>
      </c>
      <c r="I25" s="294">
        <f>+BS!I7/BS!I28</f>
        <v>0.50744123656482287</v>
      </c>
      <c r="J25" s="294">
        <f>+BS!J7/BS!J28</f>
        <v>0.48809203357949876</v>
      </c>
      <c r="K25" s="294">
        <f>+BS!K7/BS!K28</f>
        <v>0.4694205058387384</v>
      </c>
      <c r="L25" s="294">
        <f>+BS!L7/BS!L28</f>
        <v>0.45267374614072348</v>
      </c>
      <c r="M25" s="294">
        <f>+BS!M7/BS!M28</f>
        <v>0.43595944516471979</v>
      </c>
      <c r="N25" s="294">
        <f>+BS!N7/BS!N28</f>
        <v>0.41969805813218569</v>
      </c>
      <c r="O25" s="294">
        <f>+BS!O7/BS!O28</f>
        <v>0.40321467562669577</v>
      </c>
      <c r="P25" s="294">
        <f>+BS!P7/BS!P28</f>
        <v>0.38834281013823851</v>
      </c>
      <c r="Q25" s="294">
        <f>+BS!Q7/BS!Q28</f>
        <v>0.37343203029554961</v>
      </c>
      <c r="R25" s="293">
        <f t="shared" si="2"/>
        <v>0.45536300046970757</v>
      </c>
      <c r="S25" s="293">
        <f t="shared" si="3"/>
        <v>0.44399976508189071</v>
      </c>
      <c r="U25" s="57" t="s">
        <v>1348</v>
      </c>
      <c r="V25" s="328">
        <f ca="1">'DCF + DDM'!D44</f>
        <v>92.71</v>
      </c>
    </row>
    <row r="26" spans="2:22" x14ac:dyDescent="0.25">
      <c r="B26" s="22" t="s">
        <v>1309</v>
      </c>
      <c r="C26" s="296">
        <f>BS!C9/IS!C5*365</f>
        <v>33.159501267525485</v>
      </c>
      <c r="D26" s="296">
        <f>BS!D9/IS!D5*365</f>
        <v>29.567323328532268</v>
      </c>
      <c r="E26" s="296">
        <f>BS!E9/IS!E5*365</f>
        <v>27.18526122662939</v>
      </c>
      <c r="F26" s="296">
        <f>BS!F9/IS!F5*365</f>
        <v>27.777576390813913</v>
      </c>
      <c r="G26" s="296">
        <f>BS!G9/IS!G5*365</f>
        <v>23.071657442470144</v>
      </c>
      <c r="H26" s="296">
        <f>BS!H9/IS!H5*365</f>
        <v>28.152263931194245</v>
      </c>
      <c r="I26" s="296">
        <f>BS!I9/IS!I5*365</f>
        <v>28.152263931194238</v>
      </c>
      <c r="J26" s="296">
        <f>BS!J9/IS!J5*365</f>
        <v>28.152263931194245</v>
      </c>
      <c r="K26" s="296">
        <f>BS!K9/IS!K5*365</f>
        <v>28.152263931194245</v>
      </c>
      <c r="L26" s="296">
        <f>BS!L9/IS!L5*365</f>
        <v>28.152263931194245</v>
      </c>
      <c r="M26" s="296">
        <f>BS!M9/IS!M5*365</f>
        <v>28.152263931194245</v>
      </c>
      <c r="N26" s="296">
        <f>BS!N9/IS!N5*365</f>
        <v>28.152263931194248</v>
      </c>
      <c r="O26" s="296">
        <f>BS!O9/IS!O5*365</f>
        <v>28.152263931194248</v>
      </c>
      <c r="P26" s="296">
        <f>BS!P9/IS!P5*365</f>
        <v>28.152263931194245</v>
      </c>
      <c r="Q26" s="296">
        <f>BS!Q9/IS!Q5*365</f>
        <v>28.152263931194245</v>
      </c>
      <c r="R26" s="295">
        <f>AVERAGE(C26:G26)</f>
        <v>28.152263931194245</v>
      </c>
      <c r="S26" s="295">
        <f>AVERAGE(H26:Q26)</f>
        <v>28.152263931194248</v>
      </c>
    </row>
    <row r="27" spans="2:22" x14ac:dyDescent="0.25">
      <c r="B27" s="22" t="s">
        <v>1310</v>
      </c>
      <c r="C27" s="296">
        <f>BS!C10/IS!C16*365</f>
        <v>80.863724853990917</v>
      </c>
      <c r="D27" s="296">
        <f>BS!D10/IS!D16*365</f>
        <v>84.971951823131491</v>
      </c>
      <c r="E27" s="296">
        <f>BS!E10/IS!E16*365</f>
        <v>87.449769834822646</v>
      </c>
      <c r="F27" s="296">
        <f>BS!F10/IS!F16*365</f>
        <v>94.539279062123384</v>
      </c>
      <c r="G27" s="296">
        <f>BS!G10/IS!G16*365</f>
        <v>88.422478922588411</v>
      </c>
      <c r="H27" s="296">
        <f>BS!H10/IS!H16*365</f>
        <v>87.249440899331375</v>
      </c>
      <c r="I27" s="296">
        <f>BS!I10/IS!I16*365</f>
        <v>87.249440899331375</v>
      </c>
      <c r="J27" s="296">
        <f>BS!J10/IS!J16*365</f>
        <v>87.249440899331375</v>
      </c>
      <c r="K27" s="296">
        <f>BS!K10/IS!K16*365</f>
        <v>87.249440899331375</v>
      </c>
      <c r="L27" s="296">
        <f>BS!L10/IS!L16*365</f>
        <v>87.249440899331375</v>
      </c>
      <c r="M27" s="296">
        <f>BS!M10/IS!M16*365</f>
        <v>87.249440899331361</v>
      </c>
      <c r="N27" s="296">
        <f>BS!N10/IS!N16*365</f>
        <v>87.249440899331375</v>
      </c>
      <c r="O27" s="296">
        <f>BS!O10/IS!O16*365</f>
        <v>87.249440899331375</v>
      </c>
      <c r="P27" s="296">
        <f>BS!P10/IS!P16*365</f>
        <v>87.249440899331375</v>
      </c>
      <c r="Q27" s="296">
        <f>BS!Q10/IS!Q16*365</f>
        <v>87.249440899331375</v>
      </c>
      <c r="R27" s="295">
        <f>AVERAGE(C27:G27)</f>
        <v>87.249440899331375</v>
      </c>
      <c r="S27" s="295">
        <f>AVERAGE(H27:Q27)</f>
        <v>87.249440899331375</v>
      </c>
      <c r="U27" s="329"/>
    </row>
    <row r="28" spans="2:22" x14ac:dyDescent="0.25">
      <c r="B28" s="22" t="s">
        <v>1311</v>
      </c>
      <c r="C28" s="296">
        <f>BS!C24/IS!C16*365</f>
        <v>109.00259571706684</v>
      </c>
      <c r="D28" s="296">
        <f>BS!D24/IS!D16*365</f>
        <v>106.53110047846891</v>
      </c>
      <c r="E28" s="296">
        <f>BS!E24/IS!E16*365</f>
        <v>110.49823991334959</v>
      </c>
      <c r="F28" s="296">
        <f>BS!F24/IS!F16*365</f>
        <v>109.33603593732882</v>
      </c>
      <c r="G28" s="296">
        <f>BS!G24/IS!G16*365</f>
        <v>112.88103580422643</v>
      </c>
      <c r="H28" s="296">
        <f>BS!H24/IS!H16*365</f>
        <v>109.58596179392208</v>
      </c>
      <c r="I28" s="296">
        <f>BS!I24/IS!I16*365</f>
        <v>109.58596179392205</v>
      </c>
      <c r="J28" s="296">
        <f>BS!J24/IS!J16*365</f>
        <v>109.58596179392205</v>
      </c>
      <c r="K28" s="296">
        <f>BS!K24/IS!K16*365</f>
        <v>109.58596179392205</v>
      </c>
      <c r="L28" s="296">
        <f>BS!L24/IS!L16*365</f>
        <v>109.58596179392208</v>
      </c>
      <c r="M28" s="296">
        <f>BS!M24/IS!M16*365</f>
        <v>109.58596179392208</v>
      </c>
      <c r="N28" s="296">
        <f>BS!N24/IS!N16*365</f>
        <v>109.58596179392205</v>
      </c>
      <c r="O28" s="296">
        <f>BS!O24/IS!O16*365</f>
        <v>109.58596179392205</v>
      </c>
      <c r="P28" s="296">
        <f>BS!P24/IS!P16*365</f>
        <v>109.58596179392205</v>
      </c>
      <c r="Q28" s="296">
        <f>BS!Q24/IS!Q16*365</f>
        <v>109.58596179392208</v>
      </c>
      <c r="R28" s="295">
        <f>AVERAGE(C28:G28)</f>
        <v>109.64980157008813</v>
      </c>
      <c r="S28" s="295">
        <f>AVERAGE(H28:Q28)</f>
        <v>109.58596179392205</v>
      </c>
    </row>
    <row r="29" spans="2:22" x14ac:dyDescent="0.25">
      <c r="B29" s="22" t="s">
        <v>1312</v>
      </c>
      <c r="C29" s="296">
        <f>C26+C27-C28</f>
        <v>5.0206304044495624</v>
      </c>
      <c r="D29" s="296">
        <f t="shared" ref="D29:Q29" si="4">D26+D27-D28</f>
        <v>8.0081746731948442</v>
      </c>
      <c r="E29" s="296">
        <f t="shared" si="4"/>
        <v>4.1367911481024464</v>
      </c>
      <c r="F29" s="296">
        <f t="shared" si="4"/>
        <v>12.980819515608474</v>
      </c>
      <c r="G29" s="296">
        <f t="shared" si="4"/>
        <v>-1.3868994391678768</v>
      </c>
      <c r="H29" s="296">
        <f t="shared" si="4"/>
        <v>5.8157430366035356</v>
      </c>
      <c r="I29" s="296">
        <f t="shared" si="4"/>
        <v>5.8157430366035641</v>
      </c>
      <c r="J29" s="296">
        <f t="shared" si="4"/>
        <v>5.8157430366035641</v>
      </c>
      <c r="K29" s="296">
        <f t="shared" si="4"/>
        <v>5.8157430366035641</v>
      </c>
      <c r="L29" s="296">
        <f t="shared" si="4"/>
        <v>5.8157430366035356</v>
      </c>
      <c r="M29" s="296">
        <f t="shared" si="4"/>
        <v>5.8157430366035214</v>
      </c>
      <c r="N29" s="296">
        <f t="shared" si="4"/>
        <v>5.8157430366035783</v>
      </c>
      <c r="O29" s="296">
        <f t="shared" si="4"/>
        <v>5.8157430366035783</v>
      </c>
      <c r="P29" s="296">
        <f t="shared" si="4"/>
        <v>5.8157430366035641</v>
      </c>
      <c r="Q29" s="296">
        <f t="shared" si="4"/>
        <v>5.8157430366035356</v>
      </c>
      <c r="R29" s="298">
        <f>AVERAGE(C29:G29)</f>
        <v>5.7519032604374898</v>
      </c>
      <c r="S29" s="298">
        <f>AVERAGE(H29:Q29)</f>
        <v>5.8157430366035543</v>
      </c>
    </row>
    <row r="31" spans="2:22" x14ac:dyDescent="0.25">
      <c r="B31" s="201" t="s">
        <v>1306</v>
      </c>
      <c r="C31" s="18"/>
      <c r="D31" s="18"/>
      <c r="E31" s="18"/>
      <c r="F31" s="18"/>
      <c r="G31" s="18"/>
      <c r="H31" s="18"/>
      <c r="I31" s="18"/>
      <c r="J31" s="18"/>
      <c r="K31" s="18"/>
      <c r="L31" s="18"/>
      <c r="M31" s="18"/>
      <c r="N31" s="18"/>
      <c r="O31" s="18"/>
      <c r="P31" s="18"/>
      <c r="Q31" s="18"/>
      <c r="R31" s="277" t="s">
        <v>1293</v>
      </c>
      <c r="S31" s="277" t="s">
        <v>1294</v>
      </c>
    </row>
    <row r="32" spans="2:22" x14ac:dyDescent="0.25">
      <c r="B32" s="22" t="s">
        <v>1307</v>
      </c>
      <c r="C32" s="279">
        <f>+CF!C21*-1/IS!C5</f>
        <v>3.5361374101091622E-2</v>
      </c>
      <c r="D32" s="279">
        <f>+CF!D21*-1/IS!D5</f>
        <v>3.4474747944059844E-2</v>
      </c>
      <c r="E32" s="279">
        <f>+CF!E21*-1/IS!E5</f>
        <v>4.0450812510920843E-2</v>
      </c>
      <c r="F32" s="279">
        <f>+CF!F21*-1/IS!F5</f>
        <v>4.4011344009211674E-2</v>
      </c>
      <c r="G32" s="279">
        <f>+CF!G21*-1/IS!G5</f>
        <v>4.3943239981690314E-2</v>
      </c>
      <c r="H32" s="279">
        <f>+CF!H21*-1/IS!H5</f>
        <v>4.2801798833940939E-2</v>
      </c>
      <c r="I32" s="279">
        <f>+CF!I21*-1/IS!I5</f>
        <v>4.2801798833940946E-2</v>
      </c>
      <c r="J32" s="279">
        <f>+CF!J21*-1/IS!J5</f>
        <v>4.2801798833940946E-2</v>
      </c>
      <c r="K32" s="279">
        <f>+CF!K21*-1/IS!K5</f>
        <v>4.2801798833940946E-2</v>
      </c>
      <c r="L32" s="279">
        <f>+CF!L21*-1/IS!L5</f>
        <v>4.2801798833940946E-2</v>
      </c>
      <c r="M32" s="279">
        <f>+CF!M21*-1/IS!M5</f>
        <v>4.2801798833940946E-2</v>
      </c>
      <c r="N32" s="279">
        <f>+CF!N21*-1/IS!N5</f>
        <v>4.2801798833940946E-2</v>
      </c>
      <c r="O32" s="279">
        <f>+CF!O21*-1/IS!O5</f>
        <v>4.2801798833940946E-2</v>
      </c>
      <c r="P32" s="279">
        <f>+CF!P21*-1/IS!P5</f>
        <v>4.2801798833940946E-2</v>
      </c>
      <c r="Q32" s="279">
        <f>+CF!Q21*-1/IS!Q5</f>
        <v>4.2801798833940946E-2</v>
      </c>
      <c r="R32" s="280">
        <f>+AVERAGE(C32:G32)</f>
        <v>3.9648303709394858E-2</v>
      </c>
      <c r="S32" s="280">
        <f>+AVERAGE(H32:Q32)</f>
        <v>4.2801798833940953E-2</v>
      </c>
    </row>
    <row r="33" spans="2:19" x14ac:dyDescent="0.25">
      <c r="B33" s="22" t="s">
        <v>1313</v>
      </c>
      <c r="C33" s="296">
        <f>BS!C14/CF!C8</f>
        <v>7.8085399449035808</v>
      </c>
      <c r="D33" s="296">
        <f>BS!D14/CF!D8</f>
        <v>8.9261904761904756</v>
      </c>
      <c r="E33" s="296">
        <f>BS!E14/CF!E8</f>
        <v>9.3652482269503547</v>
      </c>
      <c r="F33" s="296">
        <f>BS!F14/CF!F8</f>
        <v>10.683720930232559</v>
      </c>
      <c r="G33" s="296">
        <f>BS!G14/CF!G8</f>
        <v>10.771428571428572</v>
      </c>
      <c r="H33" s="296">
        <f>BS!H14/CF!H8</f>
        <v>10.743177020444778</v>
      </c>
      <c r="I33" s="296">
        <f>BS!I14/CF!I8</f>
        <v>10.554994114683781</v>
      </c>
      <c r="J33" s="296">
        <f>BS!J14/CF!J8</f>
        <v>10.719375469676189</v>
      </c>
      <c r="K33" s="296">
        <f>BS!K14/CF!K8</f>
        <v>9.5083708058752823</v>
      </c>
      <c r="L33" s="296">
        <f>BS!L14/CF!L8</f>
        <v>9.4722210502303632</v>
      </c>
      <c r="M33" s="296">
        <f>BS!M14/CF!M8</f>
        <v>9.532539213519243</v>
      </c>
      <c r="N33" s="296">
        <f>BS!N14/CF!N8</f>
        <v>9.5895437064628997</v>
      </c>
      <c r="O33" s="296">
        <f>BS!O14/CF!O8</f>
        <v>9.624813554054672</v>
      </c>
      <c r="P33" s="296">
        <f>BS!P14/CF!P8</f>
        <v>9.6898019455009674</v>
      </c>
      <c r="Q33" s="296">
        <f>BS!Q14/CF!Q8</f>
        <v>9.7377739417123443</v>
      </c>
      <c r="R33" s="295">
        <f>AVERAGE(C33:G33)</f>
        <v>9.5110256299411091</v>
      </c>
      <c r="S33" s="295">
        <f>AVERAGE(H33:Q33)</f>
        <v>9.9172610822160543</v>
      </c>
    </row>
    <row r="34" spans="2:19" x14ac:dyDescent="0.25">
      <c r="B34" s="22" t="s">
        <v>1314</v>
      </c>
      <c r="C34" s="296">
        <f>'Balance Sheet'!C25/CR!C72</f>
        <v>16.069730586370842</v>
      </c>
      <c r="D34" s="296">
        <f>'Balance Sheet'!D25/CR!D72</f>
        <v>18.205333333333332</v>
      </c>
      <c r="E34" s="296">
        <f>'Balance Sheet'!E25/CR!E72</f>
        <v>19.446954813359529</v>
      </c>
      <c r="F34" s="296">
        <f>'Balance Sheet'!F25/CR!F72</f>
        <v>20.764299802761339</v>
      </c>
      <c r="G34" s="296">
        <f>'Balance Sheet'!G25/CR!G72</f>
        <v>20.888548057259715</v>
      </c>
      <c r="H34" s="296"/>
      <c r="I34" s="296"/>
      <c r="J34" s="296"/>
      <c r="K34" s="296"/>
      <c r="L34" s="296"/>
      <c r="M34" s="296"/>
      <c r="N34" s="296"/>
      <c r="O34" s="296"/>
      <c r="P34" s="296"/>
      <c r="Q34" s="296"/>
      <c r="R34" s="295">
        <f>AVERAGE(C34:G34)</f>
        <v>19.074973318616951</v>
      </c>
      <c r="S34" s="295" t="s">
        <v>1316</v>
      </c>
    </row>
    <row r="35" spans="2:19" x14ac:dyDescent="0.25">
      <c r="B35" s="22" t="s">
        <v>1315</v>
      </c>
      <c r="C35" s="296">
        <f>'Balance Sheet'!C26/CR!C72</f>
        <v>7.0855784469096674</v>
      </c>
      <c r="D35" s="296">
        <f>'Balance Sheet'!D26/CR!D72</f>
        <v>8.2080000000000002</v>
      </c>
      <c r="E35" s="296">
        <f>'Balance Sheet'!E26/CR!E72</f>
        <v>9.0697445972495085</v>
      </c>
      <c r="F35" s="296">
        <f>'Balance Sheet'!F26/CR!F72</f>
        <v>9.4378698224852062</v>
      </c>
      <c r="G35" s="296">
        <f>'Balance Sheet'!G26/CR!G72</f>
        <v>9.3241308793456028</v>
      </c>
      <c r="H35" s="296"/>
      <c r="I35" s="296"/>
      <c r="J35" s="296"/>
      <c r="K35" s="296"/>
      <c r="L35" s="296"/>
      <c r="M35" s="296"/>
      <c r="N35" s="296"/>
      <c r="O35" s="296"/>
      <c r="P35" s="296"/>
      <c r="Q35" s="296"/>
      <c r="R35" s="295">
        <f>AVERAGE(C35:G35)</f>
        <v>8.6250647491979962</v>
      </c>
      <c r="S35" s="295" t="s">
        <v>1316</v>
      </c>
    </row>
    <row r="36" spans="2:19" x14ac:dyDescent="0.25">
      <c r="B36" s="22" t="s">
        <v>1308</v>
      </c>
      <c r="C36" s="294">
        <f>+CF!C21*-1/CF!C8</f>
        <v>0.94146005509641872</v>
      </c>
      <c r="D36" s="294">
        <f>+CF!D21*-1/CF!D8</f>
        <v>1.1777777777777778</v>
      </c>
      <c r="E36" s="294">
        <f>+CF!E21*-1/CF!E8</f>
        <v>1.6418439716312057</v>
      </c>
      <c r="F36" s="294">
        <f>+CF!F21*-1/CF!F8</f>
        <v>1.92</v>
      </c>
      <c r="G36" s="294">
        <f>+CF!G21*-1/CF!G8</f>
        <v>2.0114285714285716</v>
      </c>
      <c r="H36" s="294">
        <f>+CF!H21*-1/CF!H8</f>
        <v>1.8412461850010198</v>
      </c>
      <c r="I36" s="294">
        <f>+CF!I21*-1/CF!I8</f>
        <v>1.7115192892593321</v>
      </c>
      <c r="J36" s="294">
        <f>+CF!J21*-1/CF!J8</f>
        <v>1.7060075980341096</v>
      </c>
      <c r="K36" s="294">
        <f>+CF!K21*-1/CF!K8</f>
        <v>1.5054305954011362</v>
      </c>
      <c r="L36" s="294">
        <f>+CF!L21*-1/CF!L8</f>
        <v>1.4879853883448104</v>
      </c>
      <c r="M36" s="294">
        <f>+CF!M21*-1/CF!M8</f>
        <v>1.4879853883448106</v>
      </c>
      <c r="N36" s="294">
        <f>+CF!N21*-1/CF!N8</f>
        <v>1.4879853883448104</v>
      </c>
      <c r="O36" s="294">
        <f>+CF!O21*-1/CF!O8</f>
        <v>1.4879853883448104</v>
      </c>
      <c r="P36" s="294">
        <f>+CF!P21*-1/CF!P8</f>
        <v>1.4879853883448104</v>
      </c>
      <c r="Q36" s="294">
        <f>+CF!Q21*-1/CF!Q8</f>
        <v>1.4879853883448106</v>
      </c>
      <c r="R36" s="297">
        <f t="shared" ref="R36" si="5">+AVERAGE(C36:G36)</f>
        <v>1.5385020751867946</v>
      </c>
      <c r="S36" s="297">
        <f t="shared" ref="S36" si="6">+AVERAGE(H36:Q36)</f>
        <v>1.569211599776446</v>
      </c>
    </row>
  </sheetData>
  <pageMargins left="0.7" right="0.7" top="0.75" bottom="0.75"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6"/>
  <sheetViews>
    <sheetView zoomScaleNormal="100" workbookViewId="0">
      <selection activeCell="J35" sqref="J35"/>
    </sheetView>
  </sheetViews>
  <sheetFormatPr defaultColWidth="11.42578125" defaultRowHeight="15" x14ac:dyDescent="0.25"/>
  <sheetData>
    <row r="1" spans="1:12" x14ac:dyDescent="0.25">
      <c r="A1" s="217"/>
      <c r="B1" s="217"/>
      <c r="C1" s="217"/>
      <c r="D1" s="217"/>
      <c r="E1" s="217"/>
      <c r="F1" s="217"/>
      <c r="G1" s="217"/>
      <c r="H1" s="217"/>
      <c r="I1" s="217"/>
      <c r="J1" s="217"/>
      <c r="K1" s="217"/>
      <c r="L1" s="217"/>
    </row>
    <row r="2" spans="1:12" ht="20.25" customHeight="1" x14ac:dyDescent="0.25">
      <c r="A2" s="218" t="s">
        <v>303</v>
      </c>
      <c r="B2" s="218"/>
      <c r="C2" s="218"/>
      <c r="D2" s="218"/>
      <c r="E2" s="218"/>
      <c r="F2" s="218"/>
      <c r="G2" s="218"/>
      <c r="H2" s="218"/>
      <c r="I2" s="218"/>
      <c r="J2" s="218"/>
      <c r="K2" s="218"/>
      <c r="L2" s="218"/>
    </row>
    <row r="3" spans="1:12" x14ac:dyDescent="0.25">
      <c r="A3" s="219"/>
      <c r="B3" s="219"/>
      <c r="C3" s="219"/>
      <c r="D3" s="219"/>
      <c r="E3" s="219"/>
      <c r="F3" s="219"/>
      <c r="G3" s="219"/>
      <c r="H3" s="219"/>
      <c r="I3" s="219"/>
      <c r="J3" s="219"/>
      <c r="K3" s="219"/>
      <c r="L3" s="219"/>
    </row>
    <row r="4" spans="1:12" x14ac:dyDescent="0.25">
      <c r="A4" s="220" t="s">
        <v>304</v>
      </c>
      <c r="B4" s="220"/>
      <c r="C4" s="221" t="s">
        <v>305</v>
      </c>
      <c r="D4" s="221" t="s">
        <v>306</v>
      </c>
      <c r="E4" s="221" t="s">
        <v>307</v>
      </c>
      <c r="F4" s="221" t="s">
        <v>308</v>
      </c>
      <c r="G4" s="221" t="s">
        <v>309</v>
      </c>
      <c r="H4" s="221" t="s">
        <v>310</v>
      </c>
      <c r="I4" s="221" t="s">
        <v>311</v>
      </c>
      <c r="J4" s="221" t="s">
        <v>312</v>
      </c>
      <c r="K4" s="221" t="s">
        <v>313</v>
      </c>
      <c r="L4" s="221" t="s">
        <v>314</v>
      </c>
    </row>
    <row r="5" spans="1:12" x14ac:dyDescent="0.25">
      <c r="A5" s="222" t="s">
        <v>315</v>
      </c>
      <c r="B5" s="222"/>
      <c r="C5" s="223" t="s">
        <v>316</v>
      </c>
      <c r="D5" s="223" t="s">
        <v>317</v>
      </c>
      <c r="E5" s="223" t="s">
        <v>318</v>
      </c>
      <c r="F5" s="223" t="s">
        <v>319</v>
      </c>
      <c r="G5" s="223" t="s">
        <v>320</v>
      </c>
      <c r="H5" s="223" t="s">
        <v>321</v>
      </c>
      <c r="I5" s="223" t="s">
        <v>322</v>
      </c>
      <c r="J5" s="223" t="s">
        <v>323</v>
      </c>
      <c r="K5" s="223" t="s">
        <v>324</v>
      </c>
      <c r="L5" s="223" t="s">
        <v>325</v>
      </c>
    </row>
    <row r="6" spans="1:12" x14ac:dyDescent="0.25">
      <c r="A6" s="224" t="s">
        <v>326</v>
      </c>
      <c r="B6" s="224" t="s">
        <v>327</v>
      </c>
      <c r="C6" s="225">
        <v>236898</v>
      </c>
      <c r="D6" s="225">
        <v>235921.68</v>
      </c>
      <c r="E6" s="225">
        <v>256083.25</v>
      </c>
      <c r="F6" s="225">
        <v>275304.08</v>
      </c>
      <c r="G6" s="225">
        <v>253870.44</v>
      </c>
      <c r="H6" s="225">
        <v>267842.52</v>
      </c>
      <c r="I6" s="225">
        <v>300752.82</v>
      </c>
      <c r="J6" s="226">
        <v>330516.69935076003</v>
      </c>
      <c r="K6" s="225"/>
      <c r="L6" s="225"/>
    </row>
    <row r="7" spans="1:12" x14ac:dyDescent="0.25">
      <c r="A7" s="227" t="s">
        <v>328</v>
      </c>
      <c r="B7" s="227" t="s">
        <v>329</v>
      </c>
      <c r="C7" s="228">
        <v>11175</v>
      </c>
      <c r="D7" s="228">
        <v>10914</v>
      </c>
      <c r="E7" s="228">
        <v>12625</v>
      </c>
      <c r="F7" s="228">
        <v>11631</v>
      </c>
      <c r="G7" s="228">
        <v>13663</v>
      </c>
      <c r="H7" s="228">
        <v>14571</v>
      </c>
      <c r="I7" s="228">
        <v>15806</v>
      </c>
      <c r="J7" s="229">
        <v>13820</v>
      </c>
      <c r="K7" s="228"/>
      <c r="L7" s="228"/>
    </row>
    <row r="8" spans="1:12" x14ac:dyDescent="0.25">
      <c r="A8" s="227" t="s">
        <v>330</v>
      </c>
      <c r="B8" s="227" t="s">
        <v>331</v>
      </c>
      <c r="C8" s="228">
        <v>2117</v>
      </c>
      <c r="D8" s="228">
        <v>1985</v>
      </c>
      <c r="E8" s="228">
        <v>1861</v>
      </c>
      <c r="F8" s="228">
        <v>1721</v>
      </c>
      <c r="G8" s="228">
        <v>1539</v>
      </c>
      <c r="H8" s="228">
        <v>1516</v>
      </c>
      <c r="I8" s="228">
        <v>2106</v>
      </c>
      <c r="J8" s="229">
        <v>2101</v>
      </c>
      <c r="K8" s="228"/>
      <c r="L8" s="228"/>
    </row>
    <row r="9" spans="1:12" x14ac:dyDescent="0.25">
      <c r="A9" s="227" t="s">
        <v>332</v>
      </c>
      <c r="B9" s="227" t="s">
        <v>333</v>
      </c>
      <c r="C9" s="228">
        <v>44155</v>
      </c>
      <c r="D9" s="228">
        <v>44415</v>
      </c>
      <c r="E9" s="228">
        <v>44232</v>
      </c>
      <c r="F9" s="228">
        <v>40603</v>
      </c>
      <c r="G9" s="228">
        <v>43426</v>
      </c>
      <c r="H9" s="228">
        <v>45735</v>
      </c>
      <c r="I9" s="228">
        <v>47214</v>
      </c>
      <c r="J9" s="229">
        <v>43890</v>
      </c>
      <c r="K9" s="228"/>
      <c r="L9" s="228"/>
    </row>
    <row r="10" spans="1:12" x14ac:dyDescent="0.25">
      <c r="A10" s="224" t="s">
        <v>334</v>
      </c>
      <c r="B10" s="224" t="s">
        <v>335</v>
      </c>
      <c r="C10" s="225">
        <v>271995</v>
      </c>
      <c r="D10" s="225">
        <v>271407.68</v>
      </c>
      <c r="E10" s="225">
        <v>289551.25</v>
      </c>
      <c r="F10" s="225">
        <v>305997.08</v>
      </c>
      <c r="G10" s="225">
        <v>285172.44</v>
      </c>
      <c r="H10" s="225">
        <v>300522.52</v>
      </c>
      <c r="I10" s="225">
        <v>334266.82</v>
      </c>
      <c r="J10" s="226">
        <v>362687.69935076003</v>
      </c>
      <c r="K10" s="225"/>
      <c r="L10" s="225"/>
    </row>
    <row r="11" spans="1:12" x14ac:dyDescent="0.25">
      <c r="A11" s="224"/>
      <c r="B11" s="230"/>
      <c r="C11" s="230"/>
      <c r="D11" s="230"/>
      <c r="E11" s="230"/>
      <c r="F11" s="230"/>
      <c r="G11" s="230"/>
      <c r="H11" s="230"/>
      <c r="I11" s="230"/>
      <c r="J11" s="231"/>
      <c r="K11" s="230"/>
      <c r="L11" s="230"/>
    </row>
    <row r="12" spans="1:12" x14ac:dyDescent="0.25">
      <c r="A12" s="224" t="s">
        <v>336</v>
      </c>
      <c r="B12" s="224" t="s">
        <v>337</v>
      </c>
      <c r="C12" s="225">
        <v>37280</v>
      </c>
      <c r="D12" s="225">
        <v>32999</v>
      </c>
      <c r="E12" s="225">
        <v>38658</v>
      </c>
      <c r="F12" s="225">
        <v>43046</v>
      </c>
      <c r="G12" s="225">
        <v>45784</v>
      </c>
      <c r="H12" s="225">
        <v>46897</v>
      </c>
      <c r="I12" s="225">
        <v>48062</v>
      </c>
      <c r="J12" s="226">
        <v>49317</v>
      </c>
      <c r="K12" s="225">
        <v>49085.5</v>
      </c>
      <c r="L12" s="225">
        <v>49992.636363636397</v>
      </c>
    </row>
    <row r="13" spans="1:12" x14ac:dyDescent="0.25">
      <c r="A13" s="232" t="s">
        <v>338</v>
      </c>
      <c r="B13" s="232" t="s">
        <v>339</v>
      </c>
      <c r="C13" s="233">
        <v>8.7165999999999997</v>
      </c>
      <c r="D13" s="233">
        <v>-11.4834</v>
      </c>
      <c r="E13" s="233">
        <v>17.149000000000001</v>
      </c>
      <c r="F13" s="233">
        <v>11.3508</v>
      </c>
      <c r="G13" s="233">
        <v>6.3605999999999998</v>
      </c>
      <c r="H13" s="233">
        <v>2.431</v>
      </c>
      <c r="I13" s="233">
        <v>2.4842</v>
      </c>
      <c r="J13" s="234">
        <v>5.1938910456038601</v>
      </c>
      <c r="K13" s="233">
        <v>2.1295410095293601</v>
      </c>
      <c r="L13" s="233">
        <v>1.8480740007463701</v>
      </c>
    </row>
    <row r="14" spans="1:12" x14ac:dyDescent="0.25">
      <c r="A14" s="224" t="s">
        <v>340</v>
      </c>
      <c r="B14" s="224" t="s">
        <v>341</v>
      </c>
      <c r="C14" s="225">
        <v>22660</v>
      </c>
      <c r="D14" s="225">
        <v>19501</v>
      </c>
      <c r="E14" s="225">
        <v>23248</v>
      </c>
      <c r="F14" s="225">
        <v>24863</v>
      </c>
      <c r="G14" s="225">
        <v>27319</v>
      </c>
      <c r="H14" s="225">
        <v>28643</v>
      </c>
      <c r="I14" s="225">
        <v>29796</v>
      </c>
      <c r="J14" s="226">
        <v>30641</v>
      </c>
      <c r="K14" s="225">
        <v>30467.860704999999</v>
      </c>
      <c r="L14" s="225">
        <v>31400.874826363601</v>
      </c>
    </row>
    <row r="15" spans="1:12" x14ac:dyDescent="0.25">
      <c r="A15" s="232" t="s">
        <v>342</v>
      </c>
      <c r="B15" s="232" t="s">
        <v>341</v>
      </c>
      <c r="C15" s="233">
        <v>60.783261802575097</v>
      </c>
      <c r="D15" s="233">
        <v>59.095730173641599</v>
      </c>
      <c r="E15" s="233">
        <v>60.137617052097902</v>
      </c>
      <c r="F15" s="233">
        <v>57.759141383636099</v>
      </c>
      <c r="G15" s="233">
        <v>59.669316791892399</v>
      </c>
      <c r="H15" s="233">
        <v>61.076401475574102</v>
      </c>
      <c r="I15" s="233">
        <v>61.994923224168801</v>
      </c>
      <c r="J15" s="234">
        <v>62.130705436259298</v>
      </c>
      <c r="K15" s="233">
        <v>62.070999999999998</v>
      </c>
      <c r="L15" s="233">
        <v>62.811</v>
      </c>
    </row>
    <row r="16" spans="1:12" x14ac:dyDescent="0.25">
      <c r="A16" s="224" t="s">
        <v>343</v>
      </c>
      <c r="B16" s="224" t="s">
        <v>152</v>
      </c>
      <c r="C16" s="225">
        <v>12249</v>
      </c>
      <c r="D16" s="225">
        <v>11421</v>
      </c>
      <c r="E16" s="225">
        <v>12903</v>
      </c>
      <c r="F16" s="225">
        <v>14257</v>
      </c>
      <c r="G16" s="225">
        <v>14861</v>
      </c>
      <c r="H16" s="225">
        <v>12084</v>
      </c>
      <c r="I16" s="225">
        <v>15770</v>
      </c>
      <c r="J16" s="226">
        <v>15950</v>
      </c>
      <c r="K16" s="225">
        <v>17215.470588235301</v>
      </c>
      <c r="L16" s="225">
        <v>18248.588235294101</v>
      </c>
    </row>
    <row r="17" spans="1:12" x14ac:dyDescent="0.25">
      <c r="A17" s="232" t="s">
        <v>342</v>
      </c>
      <c r="B17" s="232" t="s">
        <v>152</v>
      </c>
      <c r="C17" s="233">
        <v>32.8567596566524</v>
      </c>
      <c r="D17" s="233">
        <v>34.610139701203103</v>
      </c>
      <c r="E17" s="233">
        <v>33.377308707124001</v>
      </c>
      <c r="F17" s="233">
        <v>33.120382846257499</v>
      </c>
      <c r="G17" s="233">
        <v>32.458937620129298</v>
      </c>
      <c r="H17" s="233">
        <v>25.767106637951301</v>
      </c>
      <c r="I17" s="233">
        <v>32.811784777995101</v>
      </c>
      <c r="J17" s="234">
        <v>32.3417888354928</v>
      </c>
      <c r="K17" s="233">
        <v>35.0724156588713</v>
      </c>
      <c r="L17" s="233">
        <v>36.502552301018</v>
      </c>
    </row>
    <row r="18" spans="1:12" x14ac:dyDescent="0.25">
      <c r="A18" s="224" t="s">
        <v>344</v>
      </c>
      <c r="B18" s="224" t="s">
        <v>345</v>
      </c>
      <c r="C18" s="225">
        <v>9171</v>
      </c>
      <c r="D18" s="225">
        <v>8435</v>
      </c>
      <c r="E18" s="225">
        <v>10086</v>
      </c>
      <c r="F18" s="225">
        <v>10803</v>
      </c>
      <c r="G18" s="225">
        <v>11515</v>
      </c>
      <c r="H18" s="225">
        <v>12373</v>
      </c>
      <c r="I18" s="225">
        <v>12940</v>
      </c>
      <c r="J18" s="226">
        <v>14058</v>
      </c>
      <c r="K18" s="225">
        <v>14104.380999999999</v>
      </c>
      <c r="L18" s="225">
        <v>14962.857</v>
      </c>
    </row>
    <row r="19" spans="1:12" x14ac:dyDescent="0.25">
      <c r="A19" s="232" t="s">
        <v>342</v>
      </c>
      <c r="B19" s="232" t="s">
        <v>345</v>
      </c>
      <c r="C19" s="233">
        <v>24.600321888412001</v>
      </c>
      <c r="D19" s="233">
        <v>25.5613806478984</v>
      </c>
      <c r="E19" s="233">
        <v>26.090330591339399</v>
      </c>
      <c r="F19" s="233">
        <v>25.096408493239799</v>
      </c>
      <c r="G19" s="233">
        <v>25.150707670801999</v>
      </c>
      <c r="H19" s="233">
        <v>26.3833507473826</v>
      </c>
      <c r="I19" s="233">
        <v>26.923557072115202</v>
      </c>
      <c r="J19" s="234">
        <v>28.505383539144699</v>
      </c>
      <c r="K19" s="233">
        <v>28.734312577034</v>
      </c>
      <c r="L19" s="233">
        <v>29.9301218906784</v>
      </c>
    </row>
    <row r="20" spans="1:12" x14ac:dyDescent="0.25">
      <c r="A20" s="224" t="s">
        <v>346</v>
      </c>
      <c r="B20" s="224" t="s">
        <v>347</v>
      </c>
      <c r="C20" s="235">
        <v>2.1282000000000001</v>
      </c>
      <c r="D20" s="235">
        <v>1.9491000000000001</v>
      </c>
      <c r="E20" s="235">
        <v>2.3226</v>
      </c>
      <c r="F20" s="235">
        <v>2.4799000000000002</v>
      </c>
      <c r="G20" s="235">
        <v>2.6545999999999998</v>
      </c>
      <c r="H20" s="235">
        <v>2.8632</v>
      </c>
      <c r="I20" s="235">
        <v>3.0013000000000001</v>
      </c>
      <c r="J20" s="236">
        <v>3.259655</v>
      </c>
      <c r="K20" s="235">
        <v>3.27</v>
      </c>
      <c r="L20" s="235">
        <v>3.48</v>
      </c>
    </row>
    <row r="21" spans="1:12" x14ac:dyDescent="0.25">
      <c r="A21" s="232" t="s">
        <v>338</v>
      </c>
      <c r="B21" s="232" t="s">
        <v>348</v>
      </c>
      <c r="C21" s="237">
        <v>0.1046</v>
      </c>
      <c r="D21" s="237">
        <v>-8.4124999999999996</v>
      </c>
      <c r="E21" s="237">
        <v>19.1587</v>
      </c>
      <c r="F21" s="237">
        <v>6.7728000000000002</v>
      </c>
      <c r="G21" s="237">
        <v>7.0454999999999997</v>
      </c>
      <c r="H21" s="237">
        <v>7.8593999999999999</v>
      </c>
      <c r="I21" s="237">
        <v>4.8211000000000004</v>
      </c>
      <c r="J21" s="238">
        <v>13.160658275922501</v>
      </c>
      <c r="K21" s="237">
        <v>8.9535131677151103</v>
      </c>
      <c r="L21" s="237">
        <v>6.4220183486238502</v>
      </c>
    </row>
    <row r="22" spans="1:12" x14ac:dyDescent="0.25">
      <c r="A22" s="224"/>
      <c r="B22" s="230"/>
      <c r="C22" s="230"/>
      <c r="D22" s="230"/>
      <c r="E22" s="230"/>
      <c r="F22" s="230"/>
      <c r="G22" s="230"/>
      <c r="H22" s="230"/>
      <c r="I22" s="230"/>
      <c r="J22" s="231"/>
      <c r="K22" s="230"/>
      <c r="L22" s="230"/>
    </row>
    <row r="23" spans="1:12" x14ac:dyDescent="0.25">
      <c r="A23" s="224" t="s">
        <v>349</v>
      </c>
      <c r="B23" s="224" t="s">
        <v>350</v>
      </c>
      <c r="C23" s="225">
        <v>10471</v>
      </c>
      <c r="D23" s="225">
        <v>9844</v>
      </c>
      <c r="E23" s="225">
        <v>12625</v>
      </c>
      <c r="F23" s="225">
        <v>11018</v>
      </c>
      <c r="G23" s="225">
        <v>11599</v>
      </c>
      <c r="H23" s="225">
        <v>6805</v>
      </c>
      <c r="I23" s="225">
        <v>7408</v>
      </c>
      <c r="J23" s="226">
        <v>14631</v>
      </c>
      <c r="K23" s="225"/>
      <c r="L23" s="225"/>
    </row>
    <row r="24" spans="1:12" x14ac:dyDescent="0.25">
      <c r="A24" s="224" t="s">
        <v>351</v>
      </c>
      <c r="B24" s="224" t="s">
        <v>352</v>
      </c>
      <c r="C24" s="225">
        <v>-2054</v>
      </c>
      <c r="D24" s="225">
        <v>-1177</v>
      </c>
      <c r="E24" s="225">
        <v>-1367</v>
      </c>
      <c r="F24" s="225">
        <v>-1484</v>
      </c>
      <c r="G24" s="225">
        <v>-1852</v>
      </c>
      <c r="H24" s="225">
        <v>-2064</v>
      </c>
      <c r="I24" s="225">
        <v>-2112</v>
      </c>
      <c r="J24" s="226">
        <v>-2077</v>
      </c>
      <c r="K24" s="225">
        <v>-2201.7139999999999</v>
      </c>
      <c r="L24" s="225">
        <v>-2148.357</v>
      </c>
    </row>
    <row r="25" spans="1:12" x14ac:dyDescent="0.25">
      <c r="A25" s="224" t="s">
        <v>353</v>
      </c>
      <c r="B25" s="224" t="s">
        <v>354</v>
      </c>
      <c r="C25" s="225">
        <v>8417</v>
      </c>
      <c r="D25" s="225">
        <v>8667</v>
      </c>
      <c r="E25" s="225">
        <v>11258</v>
      </c>
      <c r="F25" s="225">
        <v>9534</v>
      </c>
      <c r="G25" s="225">
        <v>9747</v>
      </c>
      <c r="H25" s="225">
        <v>4741</v>
      </c>
      <c r="I25" s="225">
        <v>5296</v>
      </c>
      <c r="J25" s="226">
        <v>12554</v>
      </c>
      <c r="K25" s="225">
        <v>12111.44</v>
      </c>
      <c r="L25" s="225">
        <v>13266.993</v>
      </c>
    </row>
    <row r="26" spans="1:12" x14ac:dyDescent="0.25">
      <c r="A26" s="239" t="s">
        <v>355</v>
      </c>
      <c r="B26" s="239"/>
      <c r="C26" s="239" t="s">
        <v>356</v>
      </c>
      <c r="D26" s="239"/>
      <c r="E26" s="239"/>
      <c r="F26" s="239"/>
      <c r="G26" s="239"/>
      <c r="H26" s="239"/>
      <c r="I26" s="239"/>
      <c r="J26" s="239"/>
      <c r="K26" s="239"/>
      <c r="L26" s="239"/>
    </row>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6"/>
  <sheetViews>
    <sheetView zoomScaleNormal="100" workbookViewId="0">
      <selection activeCell="B34" sqref="B34"/>
    </sheetView>
  </sheetViews>
  <sheetFormatPr defaultColWidth="11.42578125" defaultRowHeight="15" x14ac:dyDescent="0.25"/>
  <cols>
    <col min="1" max="1" width="27.7109375" bestFit="1" customWidth="1"/>
  </cols>
  <sheetData>
    <row r="1" spans="1:12" x14ac:dyDescent="0.25">
      <c r="A1" s="217"/>
      <c r="B1" s="217"/>
      <c r="C1" s="217"/>
      <c r="D1" s="217"/>
      <c r="E1" s="217"/>
      <c r="F1" s="217"/>
      <c r="G1" s="217"/>
      <c r="H1" s="217"/>
      <c r="I1" s="217"/>
      <c r="J1" s="217"/>
      <c r="K1" s="217"/>
      <c r="L1" s="217"/>
    </row>
    <row r="2" spans="1:12" ht="20.25" customHeight="1" x14ac:dyDescent="0.25">
      <c r="A2" s="218" t="s">
        <v>357</v>
      </c>
      <c r="B2" s="218"/>
      <c r="C2" s="218"/>
      <c r="D2" s="218"/>
      <c r="E2" s="218"/>
      <c r="F2" s="218"/>
      <c r="G2" s="218"/>
      <c r="H2" s="218"/>
      <c r="I2" s="218"/>
      <c r="J2" s="218"/>
      <c r="K2" s="218"/>
      <c r="L2" s="218"/>
    </row>
    <row r="3" spans="1:12" x14ac:dyDescent="0.25">
      <c r="A3" s="219"/>
      <c r="B3" s="219"/>
      <c r="C3" s="219"/>
      <c r="D3" s="219"/>
      <c r="E3" s="219"/>
      <c r="F3" s="219"/>
      <c r="G3" s="219"/>
      <c r="H3" s="219"/>
      <c r="I3" s="219"/>
      <c r="J3" s="219"/>
      <c r="K3" s="219"/>
      <c r="L3" s="219"/>
    </row>
    <row r="4" spans="1:12" x14ac:dyDescent="0.25">
      <c r="A4" s="220" t="s">
        <v>358</v>
      </c>
      <c r="B4" s="220"/>
      <c r="C4" s="221" t="s">
        <v>359</v>
      </c>
      <c r="D4" s="221" t="s">
        <v>360</v>
      </c>
      <c r="E4" s="221" t="s">
        <v>361</v>
      </c>
      <c r="F4" s="221" t="s">
        <v>305</v>
      </c>
      <c r="G4" s="221" t="s">
        <v>306</v>
      </c>
      <c r="H4" s="221" t="s">
        <v>307</v>
      </c>
      <c r="I4" s="221" t="s">
        <v>308</v>
      </c>
      <c r="J4" s="221" t="s">
        <v>309</v>
      </c>
      <c r="K4" s="221" t="s">
        <v>310</v>
      </c>
      <c r="L4" s="221" t="s">
        <v>311</v>
      </c>
    </row>
    <row r="5" spans="1:12" x14ac:dyDescent="0.25">
      <c r="A5" s="222" t="s">
        <v>315</v>
      </c>
      <c r="B5" s="222"/>
      <c r="C5" s="223" t="s">
        <v>362</v>
      </c>
      <c r="D5" s="223" t="s">
        <v>363</v>
      </c>
      <c r="E5" s="223" t="s">
        <v>364</v>
      </c>
      <c r="F5" s="223" t="s">
        <v>316</v>
      </c>
      <c r="G5" s="223" t="s">
        <v>317</v>
      </c>
      <c r="H5" s="223" t="s">
        <v>318</v>
      </c>
      <c r="I5" s="223" t="s">
        <v>319</v>
      </c>
      <c r="J5" s="223" t="s">
        <v>320</v>
      </c>
      <c r="K5" s="223" t="s">
        <v>321</v>
      </c>
      <c r="L5" s="223" t="s">
        <v>322</v>
      </c>
    </row>
    <row r="6" spans="1:12" x14ac:dyDescent="0.25">
      <c r="A6" s="224" t="s">
        <v>365</v>
      </c>
      <c r="B6" s="230"/>
      <c r="C6" s="230"/>
      <c r="D6" s="230"/>
      <c r="E6" s="230"/>
      <c r="F6" s="230"/>
      <c r="G6" s="230"/>
      <c r="H6" s="230"/>
      <c r="I6" s="230"/>
      <c r="J6" s="230"/>
      <c r="K6" s="230"/>
      <c r="L6" s="230"/>
    </row>
    <row r="7" spans="1:12" x14ac:dyDescent="0.25">
      <c r="A7" s="227" t="s">
        <v>366</v>
      </c>
      <c r="B7" s="227" t="s">
        <v>367</v>
      </c>
      <c r="C7" s="240">
        <v>26.851199999999999</v>
      </c>
      <c r="D7" s="240">
        <v>6.2191999999999998</v>
      </c>
      <c r="E7" s="240">
        <v>37.788200000000003</v>
      </c>
      <c r="F7" s="240">
        <v>49.607900000000001</v>
      </c>
      <c r="G7" s="240">
        <v>40.4754</v>
      </c>
      <c r="H7" s="240">
        <v>46.200800000000001</v>
      </c>
      <c r="I7" s="240">
        <v>40.514600000000002</v>
      </c>
      <c r="J7" s="240">
        <v>42.816600000000001</v>
      </c>
      <c r="K7" s="240">
        <v>41.8568</v>
      </c>
      <c r="L7" s="240">
        <v>45.969299999999997</v>
      </c>
    </row>
    <row r="8" spans="1:12" x14ac:dyDescent="0.25">
      <c r="A8" s="227" t="s">
        <v>368</v>
      </c>
      <c r="B8" s="227" t="s">
        <v>369</v>
      </c>
      <c r="C8" s="240">
        <v>7.3640999999999996</v>
      </c>
      <c r="D8" s="240">
        <v>1.4249000000000001</v>
      </c>
      <c r="E8" s="240">
        <v>7.5202</v>
      </c>
      <c r="F8" s="240">
        <v>10.5191</v>
      </c>
      <c r="G8" s="240">
        <v>8.9212000000000007</v>
      </c>
      <c r="H8" s="240">
        <v>10.758100000000001</v>
      </c>
      <c r="I8" s="240">
        <v>10.199</v>
      </c>
      <c r="J8" s="240">
        <v>11.250299999999999</v>
      </c>
      <c r="K8" s="240">
        <v>10.7247</v>
      </c>
      <c r="L8" s="240">
        <v>12.7646</v>
      </c>
    </row>
    <row r="9" spans="1:12" x14ac:dyDescent="0.25">
      <c r="A9" s="227" t="s">
        <v>370</v>
      </c>
      <c r="B9" s="227" t="s">
        <v>371</v>
      </c>
      <c r="C9" s="240">
        <v>10.287699999999999</v>
      </c>
      <c r="D9" s="240">
        <v>2.12</v>
      </c>
      <c r="E9" s="240">
        <v>11.082800000000001</v>
      </c>
      <c r="F9" s="240">
        <v>15.208</v>
      </c>
      <c r="G9" s="240">
        <v>13.6126</v>
      </c>
      <c r="H9" s="240">
        <v>16.416699999999999</v>
      </c>
      <c r="I9" s="240">
        <v>15.190799999999999</v>
      </c>
      <c r="J9" s="240">
        <v>17.424299999999999</v>
      </c>
      <c r="K9" s="240">
        <v>16.776900000000001</v>
      </c>
      <c r="L9" s="240">
        <v>18.874500000000001</v>
      </c>
    </row>
    <row r="10" spans="1:12" x14ac:dyDescent="0.25">
      <c r="A10" s="227" t="s">
        <v>372</v>
      </c>
      <c r="B10" s="227" t="s">
        <v>373</v>
      </c>
      <c r="C10" s="240">
        <v>9.1560000000000006</v>
      </c>
      <c r="D10" s="240">
        <v>1.776</v>
      </c>
      <c r="E10" s="240">
        <v>10.4133</v>
      </c>
      <c r="F10" s="240">
        <v>12.7578</v>
      </c>
      <c r="G10" s="240">
        <v>10.5562</v>
      </c>
      <c r="H10" s="240">
        <v>11.4384</v>
      </c>
      <c r="I10" s="240">
        <v>12.4269</v>
      </c>
      <c r="J10" s="240">
        <v>12.960699999999999</v>
      </c>
      <c r="K10" s="240">
        <v>10.818899999999999</v>
      </c>
      <c r="L10" s="240">
        <v>14.2502</v>
      </c>
    </row>
    <row r="11" spans="1:12" x14ac:dyDescent="0.25">
      <c r="A11" s="227"/>
      <c r="B11" s="241"/>
      <c r="C11" s="241"/>
      <c r="D11" s="241"/>
      <c r="E11" s="241"/>
      <c r="F11" s="241"/>
      <c r="G11" s="241"/>
      <c r="H11" s="241"/>
      <c r="I11" s="241"/>
      <c r="J11" s="241"/>
      <c r="K11" s="241"/>
      <c r="L11" s="241"/>
    </row>
    <row r="12" spans="1:12" x14ac:dyDescent="0.25">
      <c r="A12" s="224" t="s">
        <v>374</v>
      </c>
      <c r="B12" s="230"/>
      <c r="C12" s="230"/>
      <c r="D12" s="230"/>
      <c r="E12" s="230"/>
      <c r="F12" s="230"/>
      <c r="G12" s="230"/>
      <c r="H12" s="230"/>
      <c r="I12" s="230"/>
      <c r="J12" s="230"/>
      <c r="K12" s="230"/>
      <c r="L12" s="230"/>
    </row>
    <row r="13" spans="1:12" x14ac:dyDescent="0.25">
      <c r="A13" s="227" t="s">
        <v>375</v>
      </c>
      <c r="B13" s="227" t="s">
        <v>376</v>
      </c>
      <c r="C13" s="240">
        <v>60.6693</v>
      </c>
      <c r="D13" s="240">
        <v>62.109200000000001</v>
      </c>
      <c r="E13" s="240">
        <v>61.903799999999997</v>
      </c>
      <c r="F13" s="240">
        <v>60.7712</v>
      </c>
      <c r="G13" s="240">
        <v>59.311199999999999</v>
      </c>
      <c r="H13" s="240">
        <v>60.271599999999999</v>
      </c>
      <c r="I13" s="240">
        <v>58.1434</v>
      </c>
      <c r="J13" s="240">
        <v>59.5227</v>
      </c>
      <c r="K13" s="240">
        <v>61.063299999999998</v>
      </c>
      <c r="L13" s="240">
        <v>61.625700000000002</v>
      </c>
    </row>
    <row r="14" spans="1:12" x14ac:dyDescent="0.25">
      <c r="A14" s="227" t="s">
        <v>377</v>
      </c>
      <c r="B14" s="227" t="s">
        <v>378</v>
      </c>
      <c r="C14" s="240">
        <v>24.873999999999999</v>
      </c>
      <c r="D14" s="240">
        <v>24.895099999999999</v>
      </c>
      <c r="E14" s="240">
        <v>29.848400000000002</v>
      </c>
      <c r="F14" s="240">
        <v>31.6052</v>
      </c>
      <c r="G14" s="240">
        <v>32.9739</v>
      </c>
      <c r="H14" s="240">
        <v>31.307700000000001</v>
      </c>
      <c r="I14" s="240">
        <v>29.220500000000001</v>
      </c>
      <c r="J14" s="240">
        <v>28.054400000000001</v>
      </c>
      <c r="K14" s="240">
        <v>24.285499999999999</v>
      </c>
      <c r="L14" s="240">
        <v>31.741099999999999</v>
      </c>
    </row>
    <row r="15" spans="1:12" x14ac:dyDescent="0.25">
      <c r="A15" s="227" t="s">
        <v>379</v>
      </c>
      <c r="B15" s="227" t="s">
        <v>380</v>
      </c>
      <c r="C15" s="240">
        <v>20.6053</v>
      </c>
      <c r="D15" s="240">
        <v>21.415600000000001</v>
      </c>
      <c r="E15" s="240">
        <v>26.682200000000002</v>
      </c>
      <c r="F15" s="240">
        <v>27.064900000000002</v>
      </c>
      <c r="G15" s="240">
        <v>27.252099999999999</v>
      </c>
      <c r="H15" s="240">
        <v>26.666699999999999</v>
      </c>
      <c r="I15" s="240">
        <v>25.3674</v>
      </c>
      <c r="J15" s="240">
        <v>24.721299999999999</v>
      </c>
      <c r="K15" s="240">
        <v>21.231999999999999</v>
      </c>
      <c r="L15" s="240">
        <v>28.706099999999999</v>
      </c>
    </row>
    <row r="16" spans="1:12" x14ac:dyDescent="0.25">
      <c r="A16" s="227" t="s">
        <v>381</v>
      </c>
      <c r="B16" s="227" t="s">
        <v>382</v>
      </c>
      <c r="C16" s="240">
        <v>-4.1958000000000002</v>
      </c>
      <c r="D16" s="240">
        <v>-15.4132</v>
      </c>
      <c r="E16" s="240" t="s">
        <v>383</v>
      </c>
      <c r="F16" s="240">
        <v>31.490200000000002</v>
      </c>
      <c r="G16" s="240">
        <v>-25.611499999999999</v>
      </c>
      <c r="H16" s="240">
        <v>23.240600000000001</v>
      </c>
      <c r="I16" s="240">
        <v>13.8193</v>
      </c>
      <c r="J16" s="240">
        <v>14.6182</v>
      </c>
      <c r="K16" s="240" t="s">
        <v>383</v>
      </c>
      <c r="L16" s="240">
        <v>428.40910000000002</v>
      </c>
    </row>
    <row r="17" spans="1:12" x14ac:dyDescent="0.25">
      <c r="A17" s="227" t="s">
        <v>384</v>
      </c>
      <c r="B17" s="227" t="s">
        <v>385</v>
      </c>
      <c r="C17" s="240">
        <v>19.434799999999999</v>
      </c>
      <c r="D17" s="240">
        <v>19.026800000000001</v>
      </c>
      <c r="E17" s="240">
        <v>23.979600000000001</v>
      </c>
      <c r="F17" s="240">
        <v>28.943300000000001</v>
      </c>
      <c r="G17" s="240">
        <v>29.529900000000001</v>
      </c>
      <c r="H17" s="240">
        <v>32.143300000000004</v>
      </c>
      <c r="I17" s="240">
        <v>27.174199999999999</v>
      </c>
      <c r="J17" s="240">
        <v>28.3079</v>
      </c>
      <c r="K17" s="240">
        <v>27.8065</v>
      </c>
      <c r="L17" s="240">
        <v>33.370199999999997</v>
      </c>
    </row>
    <row r="18" spans="1:12" x14ac:dyDescent="0.25">
      <c r="A18" s="227" t="s">
        <v>386</v>
      </c>
      <c r="B18" s="227" t="s">
        <v>387</v>
      </c>
      <c r="C18" s="240">
        <v>15.6463</v>
      </c>
      <c r="D18" s="240">
        <v>3.5430000000000001</v>
      </c>
      <c r="E18" s="240">
        <v>18.880500000000001</v>
      </c>
      <c r="F18" s="240">
        <v>24.110399999999998</v>
      </c>
      <c r="G18" s="240">
        <v>23.529399999999999</v>
      </c>
      <c r="H18" s="240">
        <v>25.3628</v>
      </c>
      <c r="I18" s="240">
        <v>22.2561</v>
      </c>
      <c r="J18" s="240">
        <v>23.392499999999998</v>
      </c>
      <c r="K18" s="240">
        <v>22.6281</v>
      </c>
      <c r="L18" s="240">
        <v>27.4024</v>
      </c>
    </row>
    <row r="19" spans="1:12" x14ac:dyDescent="0.25">
      <c r="A19" s="227" t="s">
        <v>388</v>
      </c>
      <c r="B19" s="227" t="s">
        <v>389</v>
      </c>
      <c r="C19" s="240">
        <v>15.5913</v>
      </c>
      <c r="D19" s="240">
        <v>3.4464000000000001</v>
      </c>
      <c r="E19" s="240">
        <v>18.757999999999999</v>
      </c>
      <c r="F19" s="240">
        <v>23.936</v>
      </c>
      <c r="G19" s="240">
        <v>23.465800000000002</v>
      </c>
      <c r="H19" s="240">
        <v>25.2775</v>
      </c>
      <c r="I19" s="240">
        <v>22.188600000000001</v>
      </c>
      <c r="J19" s="240">
        <v>23.416499999999999</v>
      </c>
      <c r="K19" s="240">
        <v>22.5898</v>
      </c>
      <c r="L19" s="240">
        <v>27.3399</v>
      </c>
    </row>
    <row r="20" spans="1:12" x14ac:dyDescent="0.25">
      <c r="A20" s="227" t="s">
        <v>390</v>
      </c>
      <c r="B20" s="227" t="s">
        <v>391</v>
      </c>
      <c r="C20" s="240">
        <v>15.5913</v>
      </c>
      <c r="D20" s="240">
        <v>3.4464000000000001</v>
      </c>
      <c r="E20" s="240">
        <v>18.757999999999999</v>
      </c>
      <c r="F20" s="240">
        <v>23.936</v>
      </c>
      <c r="G20" s="240">
        <v>23.465800000000002</v>
      </c>
      <c r="H20" s="240">
        <v>25.2775</v>
      </c>
      <c r="I20" s="240">
        <v>22.188600000000001</v>
      </c>
      <c r="J20" s="240">
        <v>23.416499999999999</v>
      </c>
      <c r="K20" s="240">
        <v>22.5898</v>
      </c>
      <c r="L20" s="240">
        <v>27.3399</v>
      </c>
    </row>
    <row r="21" spans="1:12" x14ac:dyDescent="0.25">
      <c r="A21" s="227"/>
      <c r="B21" s="241"/>
      <c r="C21" s="241"/>
      <c r="D21" s="241"/>
      <c r="E21" s="241"/>
      <c r="F21" s="241"/>
      <c r="G21" s="241"/>
      <c r="H21" s="241"/>
      <c r="I21" s="241"/>
      <c r="J21" s="241"/>
      <c r="K21" s="241"/>
      <c r="L21" s="241"/>
    </row>
    <row r="22" spans="1:12" x14ac:dyDescent="0.25">
      <c r="A22" s="224" t="s">
        <v>392</v>
      </c>
      <c r="B22" s="230"/>
      <c r="C22" s="230"/>
      <c r="D22" s="230"/>
      <c r="E22" s="230"/>
      <c r="F22" s="230"/>
      <c r="G22" s="230"/>
      <c r="H22" s="230"/>
      <c r="I22" s="230"/>
      <c r="J22" s="230"/>
      <c r="K22" s="230"/>
      <c r="L22" s="230"/>
    </row>
    <row r="23" spans="1:12" x14ac:dyDescent="0.25">
      <c r="A23" s="227" t="s">
        <v>393</v>
      </c>
      <c r="B23" s="227" t="s">
        <v>394</v>
      </c>
      <c r="C23" s="240">
        <v>19.493600000000001</v>
      </c>
      <c r="D23" s="240">
        <v>81.378799999999998</v>
      </c>
      <c r="E23" s="240">
        <v>21.264399999999998</v>
      </c>
      <c r="F23" s="240">
        <v>16.697600000000001</v>
      </c>
      <c r="G23" s="240">
        <v>20.32</v>
      </c>
      <c r="H23" s="240">
        <v>21.0946</v>
      </c>
      <c r="I23" s="240">
        <v>18.098600000000001</v>
      </c>
      <c r="J23" s="240">
        <v>17.364100000000001</v>
      </c>
      <c r="K23" s="240">
        <v>18.623000000000001</v>
      </c>
      <c r="L23" s="240">
        <v>17.883500000000002</v>
      </c>
    </row>
    <row r="24" spans="1:12" x14ac:dyDescent="0.25">
      <c r="A24" s="227" t="s">
        <v>395</v>
      </c>
      <c r="B24" s="227" t="s">
        <v>396</v>
      </c>
      <c r="C24" s="240">
        <v>92.596900000000005</v>
      </c>
      <c r="D24" s="240">
        <v>506.61540000000002</v>
      </c>
      <c r="E24" s="240">
        <v>103.2645</v>
      </c>
      <c r="F24" s="240">
        <v>76.699600000000004</v>
      </c>
      <c r="G24" s="240">
        <v>90.922899999999998</v>
      </c>
      <c r="H24" s="240">
        <v>74.191000000000003</v>
      </c>
      <c r="I24" s="240">
        <v>79.828999999999994</v>
      </c>
      <c r="J24" s="240">
        <v>74.2423</v>
      </c>
      <c r="K24" s="240">
        <v>78.632900000000006</v>
      </c>
      <c r="L24" s="240">
        <v>66.972800000000007</v>
      </c>
    </row>
    <row r="25" spans="1:12" x14ac:dyDescent="0.25">
      <c r="A25" s="227" t="s">
        <v>397</v>
      </c>
      <c r="B25" s="227" t="s">
        <v>398</v>
      </c>
      <c r="C25" s="240">
        <v>1.9878</v>
      </c>
      <c r="D25" s="240">
        <v>-25.2881</v>
      </c>
      <c r="E25" s="240">
        <v>-1.2336</v>
      </c>
      <c r="F25" s="240">
        <v>11.5589</v>
      </c>
      <c r="G25" s="240">
        <v>3.6739999999999999</v>
      </c>
      <c r="H25" s="240">
        <v>11.923999999999999</v>
      </c>
      <c r="I25" s="240">
        <v>8.1722000000000001</v>
      </c>
      <c r="J25" s="240">
        <v>11.028600000000001</v>
      </c>
      <c r="K25" s="240">
        <v>8.9436</v>
      </c>
      <c r="L25" s="240">
        <v>15.182399999999999</v>
      </c>
    </row>
    <row r="26" spans="1:12" x14ac:dyDescent="0.25">
      <c r="A26" s="239" t="s">
        <v>355</v>
      </c>
      <c r="B26" s="239"/>
      <c r="C26" s="239" t="s">
        <v>356</v>
      </c>
      <c r="D26" s="239"/>
      <c r="E26" s="239"/>
      <c r="F26" s="239"/>
      <c r="G26" s="239"/>
      <c r="H26" s="239"/>
      <c r="I26" s="239"/>
      <c r="J26" s="239"/>
      <c r="K26" s="239"/>
      <c r="L26" s="239"/>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74"/>
  <sheetViews>
    <sheetView zoomScaleNormal="100" workbookViewId="0">
      <selection activeCell="G22" sqref="G22"/>
    </sheetView>
  </sheetViews>
  <sheetFormatPr defaultColWidth="9.140625" defaultRowHeight="15" x14ac:dyDescent="0.25"/>
  <cols>
    <col min="1" max="1" width="65.28515625" customWidth="1"/>
  </cols>
  <sheetData>
    <row r="1" spans="1:10" x14ac:dyDescent="0.25">
      <c r="A1" s="217"/>
      <c r="B1" s="217"/>
      <c r="C1" s="217"/>
      <c r="D1" s="217"/>
      <c r="E1" s="217"/>
      <c r="F1" s="217"/>
      <c r="G1" s="217"/>
      <c r="H1" s="217"/>
      <c r="I1" s="217"/>
      <c r="J1" s="217"/>
    </row>
    <row r="2" spans="1:10" ht="20.25" customHeight="1" x14ac:dyDescent="0.25">
      <c r="A2" s="218" t="s">
        <v>399</v>
      </c>
      <c r="B2" s="218"/>
      <c r="C2" s="218"/>
      <c r="D2" s="218"/>
      <c r="E2" s="218"/>
      <c r="F2" s="218"/>
      <c r="G2" s="218"/>
      <c r="H2" s="218"/>
      <c r="I2" s="218"/>
      <c r="J2" s="218"/>
    </row>
    <row r="3" spans="1:10" x14ac:dyDescent="0.25">
      <c r="A3" s="219"/>
      <c r="B3" s="219"/>
      <c r="C3" s="219"/>
      <c r="D3" s="219"/>
      <c r="E3" s="219"/>
      <c r="F3" s="219"/>
      <c r="G3" s="219"/>
      <c r="H3" s="219"/>
      <c r="I3" s="219"/>
      <c r="J3" s="219"/>
    </row>
    <row r="4" spans="1:10" x14ac:dyDescent="0.25">
      <c r="A4" s="220" t="s">
        <v>358</v>
      </c>
      <c r="B4" s="220"/>
      <c r="C4" s="221" t="s">
        <v>307</v>
      </c>
      <c r="D4" s="221" t="s">
        <v>308</v>
      </c>
      <c r="E4" s="221" t="s">
        <v>309</v>
      </c>
      <c r="F4" s="221" t="s">
        <v>310</v>
      </c>
      <c r="G4" s="221" t="s">
        <v>311</v>
      </c>
      <c r="H4" s="221" t="s">
        <v>400</v>
      </c>
      <c r="I4" s="221" t="s">
        <v>313</v>
      </c>
      <c r="J4" s="221" t="s">
        <v>314</v>
      </c>
    </row>
    <row r="5" spans="1:10" x14ac:dyDescent="0.25">
      <c r="A5" s="222" t="s">
        <v>315</v>
      </c>
      <c r="B5" s="222"/>
      <c r="C5" s="223" t="s">
        <v>318</v>
      </c>
      <c r="D5" s="223" t="s">
        <v>319</v>
      </c>
      <c r="E5" s="223" t="s">
        <v>320</v>
      </c>
      <c r="F5" s="223" t="s">
        <v>321</v>
      </c>
      <c r="G5" s="223" t="s">
        <v>322</v>
      </c>
      <c r="H5" s="223" t="s">
        <v>323</v>
      </c>
      <c r="I5" s="223" t="s">
        <v>324</v>
      </c>
      <c r="J5" s="223" t="s">
        <v>325</v>
      </c>
    </row>
    <row r="6" spans="1:10" x14ac:dyDescent="0.25">
      <c r="A6" s="224" t="s">
        <v>401</v>
      </c>
      <c r="B6" s="224" t="s">
        <v>337</v>
      </c>
      <c r="C6" s="225">
        <v>38658</v>
      </c>
      <c r="D6" s="225">
        <v>43046</v>
      </c>
      <c r="E6" s="225">
        <v>45784</v>
      </c>
      <c r="F6" s="225">
        <v>46897</v>
      </c>
      <c r="G6" s="225">
        <v>48062</v>
      </c>
      <c r="H6" s="226">
        <v>49317</v>
      </c>
      <c r="I6" s="225">
        <v>49085.5</v>
      </c>
      <c r="J6" s="225">
        <v>49992.636363636397</v>
      </c>
    </row>
    <row r="7" spans="1:10" x14ac:dyDescent="0.25">
      <c r="A7" s="227" t="s">
        <v>402</v>
      </c>
      <c r="B7" s="227" t="s">
        <v>403</v>
      </c>
      <c r="C7" s="228">
        <v>38658</v>
      </c>
      <c r="D7" s="228">
        <v>43046</v>
      </c>
      <c r="E7" s="228">
        <v>45784</v>
      </c>
      <c r="F7" s="228">
        <v>46897</v>
      </c>
      <c r="G7" s="228">
        <v>48062</v>
      </c>
      <c r="H7" s="229">
        <v>49317</v>
      </c>
      <c r="I7" s="228"/>
      <c r="J7" s="228"/>
    </row>
    <row r="8" spans="1:10" x14ac:dyDescent="0.25">
      <c r="A8" s="227" t="s">
        <v>404</v>
      </c>
      <c r="B8" s="227" t="s">
        <v>405</v>
      </c>
      <c r="C8" s="228">
        <v>15410</v>
      </c>
      <c r="D8" s="228">
        <v>18183</v>
      </c>
      <c r="E8" s="228">
        <v>18465</v>
      </c>
      <c r="F8" s="228">
        <v>18254</v>
      </c>
      <c r="G8" s="228">
        <v>18266</v>
      </c>
      <c r="H8" s="229">
        <v>18676</v>
      </c>
      <c r="I8" s="228"/>
      <c r="J8" s="228"/>
    </row>
    <row r="9" spans="1:10" x14ac:dyDescent="0.25">
      <c r="A9" s="227" t="s">
        <v>406</v>
      </c>
      <c r="B9" s="227" t="s">
        <v>407</v>
      </c>
      <c r="C9" s="228">
        <v>15410</v>
      </c>
      <c r="D9" s="228">
        <v>18183</v>
      </c>
      <c r="E9" s="228">
        <v>18465</v>
      </c>
      <c r="F9" s="228">
        <v>18254</v>
      </c>
      <c r="G9" s="228">
        <v>18266</v>
      </c>
      <c r="H9" s="229">
        <v>18676</v>
      </c>
      <c r="I9" s="228"/>
      <c r="J9" s="228"/>
    </row>
    <row r="10" spans="1:10" x14ac:dyDescent="0.25">
      <c r="A10" s="224" t="s">
        <v>408</v>
      </c>
      <c r="B10" s="224" t="s">
        <v>341</v>
      </c>
      <c r="C10" s="225">
        <v>23248</v>
      </c>
      <c r="D10" s="225">
        <v>24863</v>
      </c>
      <c r="E10" s="225">
        <v>27319</v>
      </c>
      <c r="F10" s="225">
        <v>28643</v>
      </c>
      <c r="G10" s="225">
        <v>29796</v>
      </c>
      <c r="H10" s="226">
        <v>30641</v>
      </c>
      <c r="I10" s="225">
        <v>30467.860704999999</v>
      </c>
      <c r="J10" s="225">
        <v>31400.874826363601</v>
      </c>
    </row>
    <row r="11" spans="1:10" x14ac:dyDescent="0.25">
      <c r="A11" s="227" t="s">
        <v>409</v>
      </c>
      <c r="B11" s="227" t="s">
        <v>410</v>
      </c>
      <c r="C11" s="228">
        <v>0</v>
      </c>
      <c r="D11" s="228">
        <v>0</v>
      </c>
      <c r="E11" s="228">
        <v>0</v>
      </c>
      <c r="F11" s="228">
        <v>0</v>
      </c>
      <c r="G11" s="228">
        <v>0</v>
      </c>
      <c r="H11" s="229">
        <v>0</v>
      </c>
      <c r="I11" s="228"/>
      <c r="J11" s="228"/>
    </row>
    <row r="12" spans="1:10" x14ac:dyDescent="0.25">
      <c r="A12" s="227" t="s">
        <v>411</v>
      </c>
      <c r="B12" s="227" t="s">
        <v>412</v>
      </c>
      <c r="C12" s="228">
        <v>12139</v>
      </c>
      <c r="D12" s="228">
        <v>12263</v>
      </c>
      <c r="E12" s="228">
        <v>13983</v>
      </c>
      <c r="F12" s="228">
        <v>17996</v>
      </c>
      <c r="G12" s="228">
        <v>15481</v>
      </c>
      <c r="H12" s="229">
        <v>15738</v>
      </c>
      <c r="I12" s="228"/>
      <c r="J12" s="228"/>
    </row>
    <row r="13" spans="1:10" x14ac:dyDescent="0.25">
      <c r="A13" s="227" t="s">
        <v>413</v>
      </c>
      <c r="B13" s="227" t="s">
        <v>414</v>
      </c>
      <c r="C13" s="228">
        <v>12144</v>
      </c>
      <c r="D13" s="228">
        <v>12880</v>
      </c>
      <c r="E13" s="228">
        <v>13983</v>
      </c>
      <c r="F13" s="228">
        <v>14582</v>
      </c>
      <c r="G13" s="228">
        <v>14521</v>
      </c>
      <c r="H13" s="229">
        <v>14759</v>
      </c>
      <c r="I13" s="228"/>
      <c r="J13" s="228"/>
    </row>
    <row r="14" spans="1:10" x14ac:dyDescent="0.25">
      <c r="A14" s="227" t="s">
        <v>415</v>
      </c>
      <c r="B14" s="227" t="s">
        <v>416</v>
      </c>
      <c r="C14" s="228" t="s">
        <v>383</v>
      </c>
      <c r="D14" s="228" t="s">
        <v>383</v>
      </c>
      <c r="E14" s="228">
        <v>0</v>
      </c>
      <c r="F14" s="228">
        <v>0</v>
      </c>
      <c r="G14" s="228">
        <v>0</v>
      </c>
      <c r="H14" s="229"/>
      <c r="I14" s="228"/>
      <c r="J14" s="228"/>
    </row>
    <row r="15" spans="1:10" x14ac:dyDescent="0.25">
      <c r="A15" s="227" t="s">
        <v>417</v>
      </c>
      <c r="B15" s="227" t="s">
        <v>418</v>
      </c>
      <c r="C15" s="228">
        <v>-5</v>
      </c>
      <c r="D15" s="228">
        <v>-617</v>
      </c>
      <c r="E15" s="228">
        <v>0</v>
      </c>
      <c r="F15" s="228">
        <v>3414</v>
      </c>
      <c r="G15" s="228">
        <v>960</v>
      </c>
      <c r="H15" s="229">
        <v>979</v>
      </c>
      <c r="I15" s="228"/>
      <c r="J15" s="228"/>
    </row>
    <row r="16" spans="1:10" x14ac:dyDescent="0.25">
      <c r="A16" s="224" t="s">
        <v>419</v>
      </c>
      <c r="B16" s="224" t="s">
        <v>420</v>
      </c>
      <c r="C16" s="225">
        <v>11109</v>
      </c>
      <c r="D16" s="225">
        <v>12600</v>
      </c>
      <c r="E16" s="225">
        <v>13336</v>
      </c>
      <c r="F16" s="225">
        <v>10647</v>
      </c>
      <c r="G16" s="225">
        <v>14315</v>
      </c>
      <c r="H16" s="226">
        <v>14903</v>
      </c>
      <c r="I16" s="225">
        <v>16000.8421052632</v>
      </c>
      <c r="J16" s="225">
        <v>16980.315789473701</v>
      </c>
    </row>
    <row r="17" spans="1:10" x14ac:dyDescent="0.25">
      <c r="A17" s="227" t="s">
        <v>421</v>
      </c>
      <c r="B17" s="227" t="s">
        <v>422</v>
      </c>
      <c r="C17" s="228">
        <v>-1318</v>
      </c>
      <c r="D17" s="228">
        <v>-984</v>
      </c>
      <c r="E17" s="228">
        <v>-958</v>
      </c>
      <c r="F17" s="228">
        <v>-4570</v>
      </c>
      <c r="G17" s="228">
        <v>-2030</v>
      </c>
      <c r="H17" s="229">
        <v>-2187</v>
      </c>
      <c r="I17" s="228"/>
      <c r="J17" s="228"/>
    </row>
    <row r="18" spans="1:10" x14ac:dyDescent="0.25">
      <c r="A18" s="227" t="s">
        <v>423</v>
      </c>
      <c r="B18" s="227" t="s">
        <v>424</v>
      </c>
      <c r="C18" s="228">
        <v>2142</v>
      </c>
      <c r="D18" s="228">
        <v>409</v>
      </c>
      <c r="E18" s="228">
        <v>645</v>
      </c>
      <c r="F18" s="228">
        <v>693</v>
      </c>
      <c r="G18" s="228">
        <v>843</v>
      </c>
      <c r="H18" s="229">
        <v>807</v>
      </c>
      <c r="I18" s="228"/>
      <c r="J18" s="228"/>
    </row>
    <row r="19" spans="1:10" x14ac:dyDescent="0.25">
      <c r="A19" s="232" t="s">
        <v>425</v>
      </c>
      <c r="B19" s="232" t="s">
        <v>426</v>
      </c>
      <c r="C19" s="233">
        <v>2418</v>
      </c>
      <c r="D19" s="233">
        <v>858</v>
      </c>
      <c r="E19" s="233">
        <v>1552</v>
      </c>
      <c r="F19" s="233">
        <v>1681</v>
      </c>
      <c r="G19" s="233">
        <v>1629</v>
      </c>
      <c r="H19" s="234">
        <v>1635</v>
      </c>
      <c r="I19" s="233"/>
      <c r="J19" s="233"/>
    </row>
    <row r="20" spans="1:10" x14ac:dyDescent="0.25">
      <c r="A20" s="232" t="s">
        <v>427</v>
      </c>
      <c r="B20" s="232" t="s">
        <v>428</v>
      </c>
      <c r="C20" s="233">
        <v>276</v>
      </c>
      <c r="D20" s="233">
        <v>449</v>
      </c>
      <c r="E20" s="233">
        <v>907</v>
      </c>
      <c r="F20" s="233">
        <v>988</v>
      </c>
      <c r="G20" s="233">
        <v>786</v>
      </c>
      <c r="H20" s="234">
        <v>828</v>
      </c>
      <c r="I20" s="233"/>
      <c r="J20" s="233"/>
    </row>
    <row r="21" spans="1:10" x14ac:dyDescent="0.25">
      <c r="A21" s="227" t="s">
        <v>429</v>
      </c>
      <c r="B21" s="227" t="s">
        <v>430</v>
      </c>
      <c r="C21" s="228">
        <v>61</v>
      </c>
      <c r="D21" s="228">
        <v>0</v>
      </c>
      <c r="E21" s="228">
        <v>0</v>
      </c>
      <c r="F21" s="228">
        <v>0</v>
      </c>
      <c r="G21" s="228">
        <v>0</v>
      </c>
      <c r="H21" s="229"/>
      <c r="I21" s="228"/>
      <c r="J21" s="228"/>
    </row>
    <row r="22" spans="1:10" x14ac:dyDescent="0.25">
      <c r="A22" s="227" t="s">
        <v>431</v>
      </c>
      <c r="B22" s="227" t="s">
        <v>432</v>
      </c>
      <c r="C22" s="228">
        <v>-1438</v>
      </c>
      <c r="D22" s="228">
        <v>-1472</v>
      </c>
      <c r="E22" s="228">
        <v>-1691</v>
      </c>
      <c r="F22" s="228">
        <v>-1770</v>
      </c>
      <c r="G22" s="228">
        <v>-2031</v>
      </c>
      <c r="H22" s="229">
        <v>-2084</v>
      </c>
      <c r="I22" s="228"/>
      <c r="J22" s="228"/>
    </row>
    <row r="23" spans="1:10" x14ac:dyDescent="0.25">
      <c r="A23" s="227" t="s">
        <v>433</v>
      </c>
      <c r="B23" s="227" t="s">
        <v>434</v>
      </c>
      <c r="C23" s="228">
        <v>-2083</v>
      </c>
      <c r="D23" s="228">
        <v>79</v>
      </c>
      <c r="E23" s="228">
        <v>88</v>
      </c>
      <c r="F23" s="228">
        <v>-3493</v>
      </c>
      <c r="G23" s="228">
        <v>-842</v>
      </c>
      <c r="H23" s="229">
        <v>-910</v>
      </c>
      <c r="I23" s="228"/>
      <c r="J23" s="228"/>
    </row>
    <row r="24" spans="1:10" x14ac:dyDescent="0.25">
      <c r="A24" s="224" t="s">
        <v>435</v>
      </c>
      <c r="B24" s="224" t="s">
        <v>436</v>
      </c>
      <c r="C24" s="225">
        <v>12427</v>
      </c>
      <c r="D24" s="225">
        <v>13584</v>
      </c>
      <c r="E24" s="225">
        <v>14294</v>
      </c>
      <c r="F24" s="225">
        <v>15217</v>
      </c>
      <c r="G24" s="225">
        <v>16345</v>
      </c>
      <c r="H24" s="226">
        <v>17090</v>
      </c>
      <c r="I24" s="225">
        <v>17674</v>
      </c>
      <c r="J24" s="225">
        <v>18870</v>
      </c>
    </row>
    <row r="25" spans="1:10" x14ac:dyDescent="0.25">
      <c r="A25" s="227" t="s">
        <v>437</v>
      </c>
      <c r="B25" s="227" t="s">
        <v>438</v>
      </c>
      <c r="C25" s="228">
        <v>2</v>
      </c>
      <c r="D25" s="228">
        <v>1898</v>
      </c>
      <c r="E25" s="228">
        <v>1342</v>
      </c>
      <c r="F25" s="228">
        <v>2131</v>
      </c>
      <c r="G25" s="228">
        <v>347</v>
      </c>
      <c r="H25" s="229">
        <v>538</v>
      </c>
      <c r="I25" s="228"/>
      <c r="J25" s="228"/>
    </row>
    <row r="26" spans="1:10" x14ac:dyDescent="0.25">
      <c r="A26" s="227" t="s">
        <v>439</v>
      </c>
      <c r="B26" s="227" t="s">
        <v>440</v>
      </c>
      <c r="C26" s="228">
        <v>-1173</v>
      </c>
      <c r="D26" s="228">
        <v>408</v>
      </c>
      <c r="E26" s="228">
        <v>836</v>
      </c>
      <c r="F26" s="228">
        <v>1377</v>
      </c>
      <c r="G26" s="228">
        <v>-654</v>
      </c>
      <c r="H26" s="229">
        <v>-360</v>
      </c>
      <c r="I26" s="228"/>
      <c r="J26" s="228"/>
    </row>
    <row r="27" spans="1:10" x14ac:dyDescent="0.25">
      <c r="A27" s="227" t="s">
        <v>441</v>
      </c>
      <c r="B27" s="227" t="s">
        <v>442</v>
      </c>
      <c r="C27" s="228">
        <v>78</v>
      </c>
      <c r="D27" s="228">
        <v>153</v>
      </c>
      <c r="E27" s="228">
        <v>39</v>
      </c>
      <c r="F27" s="228">
        <v>920</v>
      </c>
      <c r="G27" s="228">
        <v>1110</v>
      </c>
      <c r="H27" s="229"/>
      <c r="I27" s="228"/>
      <c r="J27" s="228"/>
    </row>
    <row r="28" spans="1:10" x14ac:dyDescent="0.25">
      <c r="A28" s="227" t="s">
        <v>443</v>
      </c>
      <c r="B28" s="227" t="s">
        <v>444</v>
      </c>
      <c r="C28" s="228">
        <v>378</v>
      </c>
      <c r="D28" s="228">
        <v>117</v>
      </c>
      <c r="E28" s="228">
        <v>191</v>
      </c>
      <c r="F28" s="228">
        <v>133</v>
      </c>
      <c r="G28" s="228">
        <v>97</v>
      </c>
      <c r="H28" s="229"/>
      <c r="I28" s="228"/>
      <c r="J28" s="228"/>
    </row>
    <row r="29" spans="1:10" x14ac:dyDescent="0.25">
      <c r="A29" s="227" t="s">
        <v>445</v>
      </c>
      <c r="B29" s="227" t="s">
        <v>446</v>
      </c>
      <c r="C29" s="228" t="s">
        <v>383</v>
      </c>
      <c r="D29" s="228" t="s">
        <v>383</v>
      </c>
      <c r="E29" s="228" t="s">
        <v>383</v>
      </c>
      <c r="F29" s="228" t="s">
        <v>383</v>
      </c>
      <c r="G29" s="228" t="s">
        <v>383</v>
      </c>
      <c r="H29" s="229"/>
      <c r="I29" s="228"/>
      <c r="J29" s="228"/>
    </row>
    <row r="30" spans="1:10" x14ac:dyDescent="0.25">
      <c r="A30" s="227" t="s">
        <v>447</v>
      </c>
      <c r="B30" s="227" t="s">
        <v>448</v>
      </c>
      <c r="C30" s="228">
        <v>719</v>
      </c>
      <c r="D30" s="228">
        <v>1220</v>
      </c>
      <c r="E30" s="228">
        <v>276</v>
      </c>
      <c r="F30" s="228">
        <v>-299</v>
      </c>
      <c r="G30" s="228">
        <v>-206</v>
      </c>
      <c r="H30" s="229">
        <v>-304</v>
      </c>
      <c r="I30" s="228"/>
      <c r="J30" s="228"/>
    </row>
    <row r="31" spans="1:10" x14ac:dyDescent="0.25">
      <c r="A31" s="224" t="s">
        <v>449</v>
      </c>
      <c r="B31" s="224" t="s">
        <v>436</v>
      </c>
      <c r="C31" s="225">
        <v>12425</v>
      </c>
      <c r="D31" s="225">
        <v>11686</v>
      </c>
      <c r="E31" s="225">
        <v>12952</v>
      </c>
      <c r="F31" s="225">
        <v>13086</v>
      </c>
      <c r="G31" s="225">
        <v>15998</v>
      </c>
      <c r="H31" s="226">
        <v>16552</v>
      </c>
      <c r="I31" s="225">
        <v>17674</v>
      </c>
      <c r="J31" s="225">
        <v>18870</v>
      </c>
    </row>
    <row r="32" spans="1:10" x14ac:dyDescent="0.25">
      <c r="A32" s="227" t="s">
        <v>450</v>
      </c>
      <c r="B32" s="227" t="s">
        <v>451</v>
      </c>
      <c r="C32" s="228">
        <v>2621</v>
      </c>
      <c r="D32" s="228">
        <v>2115</v>
      </c>
      <c r="E32" s="228">
        <v>2249</v>
      </c>
      <c r="F32" s="228">
        <v>2437</v>
      </c>
      <c r="G32" s="228">
        <v>2861</v>
      </c>
      <c r="H32" s="229">
        <v>2784</v>
      </c>
      <c r="I32" s="228"/>
      <c r="J32" s="228"/>
    </row>
    <row r="33" spans="1:10" x14ac:dyDescent="0.25">
      <c r="A33" s="227" t="s">
        <v>452</v>
      </c>
      <c r="B33" s="227" t="s">
        <v>453</v>
      </c>
      <c r="C33" s="228" t="s">
        <v>383</v>
      </c>
      <c r="D33" s="228" t="s">
        <v>383</v>
      </c>
      <c r="E33" s="228" t="s">
        <v>383</v>
      </c>
      <c r="F33" s="228" t="s">
        <v>383</v>
      </c>
      <c r="G33" s="228" t="s">
        <v>383</v>
      </c>
      <c r="H33" s="229"/>
      <c r="I33" s="228"/>
      <c r="J33" s="228"/>
    </row>
    <row r="34" spans="1:10" x14ac:dyDescent="0.25">
      <c r="A34" s="227" t="s">
        <v>454</v>
      </c>
      <c r="B34" s="227" t="s">
        <v>455</v>
      </c>
      <c r="C34" s="228" t="s">
        <v>383</v>
      </c>
      <c r="D34" s="228" t="s">
        <v>383</v>
      </c>
      <c r="E34" s="228" t="s">
        <v>383</v>
      </c>
      <c r="F34" s="228" t="s">
        <v>383</v>
      </c>
      <c r="G34" s="228" t="s">
        <v>383</v>
      </c>
      <c r="H34" s="229"/>
      <c r="I34" s="228"/>
      <c r="J34" s="228"/>
    </row>
    <row r="35" spans="1:10" x14ac:dyDescent="0.25">
      <c r="A35" s="224" t="s">
        <v>456</v>
      </c>
      <c r="B35" s="224" t="s">
        <v>457</v>
      </c>
      <c r="C35" s="225">
        <v>9804</v>
      </c>
      <c r="D35" s="225">
        <v>9571</v>
      </c>
      <c r="E35" s="225">
        <v>10703</v>
      </c>
      <c r="F35" s="225">
        <v>10649</v>
      </c>
      <c r="G35" s="225">
        <v>13137</v>
      </c>
      <c r="H35" s="226">
        <v>13768</v>
      </c>
      <c r="I35" s="225">
        <v>14106</v>
      </c>
      <c r="J35" s="225">
        <v>14963.9</v>
      </c>
    </row>
    <row r="36" spans="1:10" x14ac:dyDescent="0.25">
      <c r="A36" s="227" t="s">
        <v>458</v>
      </c>
      <c r="B36" s="227" t="s">
        <v>459</v>
      </c>
      <c r="C36" s="228">
        <v>0</v>
      </c>
      <c r="D36" s="228">
        <v>0</v>
      </c>
      <c r="E36" s="228">
        <v>0</v>
      </c>
      <c r="F36" s="228">
        <v>0</v>
      </c>
      <c r="G36" s="228">
        <v>0</v>
      </c>
      <c r="H36" s="229">
        <v>0</v>
      </c>
      <c r="I36" s="228"/>
      <c r="J36" s="228"/>
    </row>
    <row r="37" spans="1:10" x14ac:dyDescent="0.25">
      <c r="A37" s="227" t="s">
        <v>460</v>
      </c>
      <c r="B37" s="227" t="s">
        <v>461</v>
      </c>
      <c r="C37" s="228">
        <v>0</v>
      </c>
      <c r="D37" s="228">
        <v>0</v>
      </c>
      <c r="E37" s="228">
        <v>0</v>
      </c>
      <c r="F37" s="228">
        <v>0</v>
      </c>
      <c r="G37" s="228">
        <v>0</v>
      </c>
      <c r="H37" s="229">
        <v>0</v>
      </c>
      <c r="I37" s="228"/>
      <c r="J37" s="228"/>
    </row>
    <row r="38" spans="1:10" x14ac:dyDescent="0.25">
      <c r="A38" s="227" t="s">
        <v>462</v>
      </c>
      <c r="B38" s="227" t="s">
        <v>463</v>
      </c>
      <c r="C38" s="228">
        <v>0</v>
      </c>
      <c r="D38" s="228">
        <v>0</v>
      </c>
      <c r="E38" s="228">
        <v>0</v>
      </c>
      <c r="F38" s="228">
        <v>0</v>
      </c>
      <c r="G38" s="228">
        <v>0</v>
      </c>
      <c r="H38" s="229">
        <v>0</v>
      </c>
      <c r="I38" s="228"/>
      <c r="J38" s="228"/>
    </row>
    <row r="39" spans="1:10" x14ac:dyDescent="0.25">
      <c r="A39" s="224" t="s">
        <v>464</v>
      </c>
      <c r="B39" s="224" t="s">
        <v>465</v>
      </c>
      <c r="C39" s="225">
        <v>9804</v>
      </c>
      <c r="D39" s="225">
        <v>9571</v>
      </c>
      <c r="E39" s="225">
        <v>10703</v>
      </c>
      <c r="F39" s="225">
        <v>10649</v>
      </c>
      <c r="G39" s="225">
        <v>13137</v>
      </c>
      <c r="H39" s="226">
        <v>13768</v>
      </c>
      <c r="I39" s="225"/>
      <c r="J39" s="225"/>
    </row>
    <row r="40" spans="1:10" x14ac:dyDescent="0.25">
      <c r="A40" s="227" t="s">
        <v>466</v>
      </c>
      <c r="B40" s="227" t="s">
        <v>467</v>
      </c>
      <c r="C40" s="228">
        <v>33</v>
      </c>
      <c r="D40" s="228">
        <v>29</v>
      </c>
      <c r="E40" s="228">
        <v>-11</v>
      </c>
      <c r="F40" s="228">
        <v>18</v>
      </c>
      <c r="G40" s="228">
        <v>30</v>
      </c>
      <c r="H40" s="229">
        <v>67</v>
      </c>
      <c r="I40" s="228"/>
      <c r="J40" s="228"/>
    </row>
    <row r="41" spans="1:10" x14ac:dyDescent="0.25">
      <c r="A41" s="224" t="s">
        <v>468</v>
      </c>
      <c r="B41" s="224" t="s">
        <v>469</v>
      </c>
      <c r="C41" s="225">
        <v>9771</v>
      </c>
      <c r="D41" s="225">
        <v>9542</v>
      </c>
      <c r="E41" s="225">
        <v>10714</v>
      </c>
      <c r="F41" s="225">
        <v>10631</v>
      </c>
      <c r="G41" s="225">
        <v>13107</v>
      </c>
      <c r="H41" s="226">
        <v>13701</v>
      </c>
      <c r="I41" s="225">
        <v>14106</v>
      </c>
      <c r="J41" s="225">
        <v>14963.9</v>
      </c>
    </row>
    <row r="42" spans="1:10" x14ac:dyDescent="0.25">
      <c r="A42" s="227" t="s">
        <v>470</v>
      </c>
      <c r="B42" s="227" t="s">
        <v>471</v>
      </c>
      <c r="C42" s="228">
        <v>0</v>
      </c>
      <c r="D42" s="228">
        <v>0</v>
      </c>
      <c r="E42" s="228">
        <v>0</v>
      </c>
      <c r="F42" s="228">
        <v>0</v>
      </c>
      <c r="G42" s="228">
        <v>0</v>
      </c>
      <c r="H42" s="229">
        <v>0</v>
      </c>
      <c r="I42" s="228"/>
      <c r="J42" s="228"/>
    </row>
    <row r="43" spans="1:10" x14ac:dyDescent="0.25">
      <c r="A43" s="227" t="s">
        <v>472</v>
      </c>
      <c r="B43" s="227" t="s">
        <v>473</v>
      </c>
      <c r="C43" s="228">
        <v>0</v>
      </c>
      <c r="D43" s="228">
        <v>0</v>
      </c>
      <c r="E43" s="228">
        <v>0</v>
      </c>
      <c r="F43" s="228">
        <v>0</v>
      </c>
      <c r="G43" s="228">
        <v>0</v>
      </c>
      <c r="H43" s="229">
        <v>0</v>
      </c>
      <c r="I43" s="228"/>
      <c r="J43" s="228"/>
    </row>
    <row r="44" spans="1:10" x14ac:dyDescent="0.25">
      <c r="A44" s="224" t="s">
        <v>474</v>
      </c>
      <c r="B44" s="224" t="s">
        <v>345</v>
      </c>
      <c r="C44" s="225">
        <v>9771</v>
      </c>
      <c r="D44" s="225">
        <v>9542</v>
      </c>
      <c r="E44" s="225">
        <v>10714</v>
      </c>
      <c r="F44" s="225">
        <v>10631</v>
      </c>
      <c r="G44" s="225">
        <v>13107</v>
      </c>
      <c r="H44" s="226">
        <v>13701</v>
      </c>
      <c r="I44" s="225">
        <v>14106</v>
      </c>
      <c r="J44" s="225">
        <v>14963.9</v>
      </c>
    </row>
    <row r="45" spans="1:10" x14ac:dyDescent="0.25">
      <c r="A45" s="224"/>
      <c r="B45" s="230"/>
      <c r="C45" s="230"/>
      <c r="D45" s="230"/>
      <c r="E45" s="230"/>
      <c r="F45" s="230"/>
      <c r="G45" s="230"/>
      <c r="H45" s="231"/>
      <c r="I45" s="230"/>
      <c r="J45" s="230"/>
    </row>
    <row r="46" spans="1:10" x14ac:dyDescent="0.25">
      <c r="A46" s="224" t="s">
        <v>475</v>
      </c>
      <c r="B46" s="224" t="s">
        <v>345</v>
      </c>
      <c r="C46" s="225">
        <v>10086</v>
      </c>
      <c r="D46" s="225">
        <v>10803</v>
      </c>
      <c r="E46" s="225">
        <v>11515</v>
      </c>
      <c r="F46" s="225">
        <v>12373</v>
      </c>
      <c r="G46" s="225">
        <v>12940</v>
      </c>
      <c r="H46" s="226">
        <v>14058</v>
      </c>
      <c r="I46" s="225">
        <v>14104.380999999999</v>
      </c>
      <c r="J46" s="225">
        <v>14962.857</v>
      </c>
    </row>
    <row r="47" spans="1:10" x14ac:dyDescent="0.25">
      <c r="A47" s="227" t="s">
        <v>476</v>
      </c>
      <c r="B47" s="227" t="s">
        <v>477</v>
      </c>
      <c r="C47" s="228">
        <v>315</v>
      </c>
      <c r="D47" s="228">
        <v>1261</v>
      </c>
      <c r="E47" s="228">
        <v>801</v>
      </c>
      <c r="F47" s="228">
        <v>1742</v>
      </c>
      <c r="G47" s="228">
        <v>-167</v>
      </c>
      <c r="H47" s="229">
        <v>357</v>
      </c>
      <c r="I47" s="228"/>
      <c r="J47" s="228"/>
    </row>
    <row r="48" spans="1:10" x14ac:dyDescent="0.25">
      <c r="A48" s="227" t="s">
        <v>478</v>
      </c>
      <c r="B48" s="227" t="s">
        <v>459</v>
      </c>
      <c r="C48" s="228">
        <v>0</v>
      </c>
      <c r="D48" s="228">
        <v>0</v>
      </c>
      <c r="E48" s="228">
        <v>0</v>
      </c>
      <c r="F48" s="228">
        <v>0</v>
      </c>
      <c r="G48" s="228">
        <v>0</v>
      </c>
      <c r="H48" s="229">
        <v>0</v>
      </c>
      <c r="I48" s="228"/>
      <c r="J48" s="228"/>
    </row>
    <row r="49" spans="1:10" x14ac:dyDescent="0.25">
      <c r="A49" s="224"/>
      <c r="B49" s="230"/>
      <c r="C49" s="230"/>
      <c r="D49" s="230"/>
      <c r="E49" s="230"/>
      <c r="F49" s="230"/>
      <c r="G49" s="230"/>
      <c r="H49" s="231"/>
      <c r="I49" s="230"/>
      <c r="J49" s="230"/>
    </row>
    <row r="50" spans="1:10" x14ac:dyDescent="0.25">
      <c r="A50" s="227" t="s">
        <v>479</v>
      </c>
      <c r="B50" s="227" t="s">
        <v>480</v>
      </c>
      <c r="C50" s="228">
        <v>4315</v>
      </c>
      <c r="D50" s="228">
        <v>4328</v>
      </c>
      <c r="E50" s="228">
        <v>4323</v>
      </c>
      <c r="F50" s="228">
        <v>4309</v>
      </c>
      <c r="G50" s="228">
        <v>4303</v>
      </c>
      <c r="H50" s="229">
        <v>4302</v>
      </c>
      <c r="I50" s="228"/>
      <c r="J50" s="228"/>
    </row>
    <row r="51" spans="1:10" x14ac:dyDescent="0.25">
      <c r="A51" s="224" t="s">
        <v>481</v>
      </c>
      <c r="B51" s="224" t="s">
        <v>482</v>
      </c>
      <c r="C51" s="235">
        <v>2.2599999999999998</v>
      </c>
      <c r="D51" s="235">
        <v>2.2000000000000002</v>
      </c>
      <c r="E51" s="235">
        <v>2.48</v>
      </c>
      <c r="F51" s="235">
        <v>2.4700000000000002</v>
      </c>
      <c r="G51" s="235">
        <v>3.05</v>
      </c>
      <c r="H51" s="236">
        <v>3.19</v>
      </c>
      <c r="I51" s="235">
        <v>3.27</v>
      </c>
      <c r="J51" s="235">
        <v>3.48</v>
      </c>
    </row>
    <row r="52" spans="1:10" x14ac:dyDescent="0.25">
      <c r="A52" s="224" t="s">
        <v>483</v>
      </c>
      <c r="B52" s="224" t="s">
        <v>484</v>
      </c>
      <c r="C52" s="235">
        <v>2.2599999999999998</v>
      </c>
      <c r="D52" s="235">
        <v>2.2000000000000002</v>
      </c>
      <c r="E52" s="235">
        <v>2.48</v>
      </c>
      <c r="F52" s="235">
        <v>2.4700000000000002</v>
      </c>
      <c r="G52" s="235">
        <v>3.05</v>
      </c>
      <c r="H52" s="236">
        <v>3.19</v>
      </c>
      <c r="I52" s="235">
        <v>3.27</v>
      </c>
      <c r="J52" s="235">
        <v>3.48</v>
      </c>
    </row>
    <row r="53" spans="1:10" x14ac:dyDescent="0.25">
      <c r="A53" s="224" t="s">
        <v>485</v>
      </c>
      <c r="B53" s="224" t="s">
        <v>486</v>
      </c>
      <c r="C53" s="235">
        <v>2.3374000000000001</v>
      </c>
      <c r="D53" s="235">
        <v>2.4961000000000002</v>
      </c>
      <c r="E53" s="235">
        <v>2.6637</v>
      </c>
      <c r="F53" s="235">
        <v>2.8714</v>
      </c>
      <c r="G53" s="235">
        <v>3.0072000000000001</v>
      </c>
      <c r="H53" s="236">
        <v>3.2671839999999999</v>
      </c>
      <c r="I53" s="235">
        <v>3.27</v>
      </c>
      <c r="J53" s="235">
        <v>3.48</v>
      </c>
    </row>
    <row r="54" spans="1:10" x14ac:dyDescent="0.25">
      <c r="A54" s="224"/>
      <c r="B54" s="230"/>
      <c r="C54" s="230"/>
      <c r="D54" s="230"/>
      <c r="E54" s="230"/>
      <c r="F54" s="230"/>
      <c r="G54" s="230"/>
      <c r="H54" s="231"/>
      <c r="I54" s="230"/>
      <c r="J54" s="230"/>
    </row>
    <row r="55" spans="1:10" x14ac:dyDescent="0.25">
      <c r="A55" s="227" t="s">
        <v>487</v>
      </c>
      <c r="B55" s="227" t="s">
        <v>488</v>
      </c>
      <c r="C55" s="228">
        <v>4340</v>
      </c>
      <c r="D55" s="228">
        <v>4350</v>
      </c>
      <c r="E55" s="228">
        <v>4339</v>
      </c>
      <c r="F55" s="228">
        <v>4320</v>
      </c>
      <c r="G55" s="228">
        <v>4313</v>
      </c>
      <c r="H55" s="229">
        <v>4314</v>
      </c>
      <c r="I55" s="228"/>
      <c r="J55" s="228"/>
    </row>
    <row r="56" spans="1:10" x14ac:dyDescent="0.25">
      <c r="A56" s="224" t="s">
        <v>489</v>
      </c>
      <c r="B56" s="224" t="s">
        <v>490</v>
      </c>
      <c r="C56" s="235">
        <v>2.25</v>
      </c>
      <c r="D56" s="235">
        <v>2.19</v>
      </c>
      <c r="E56" s="235">
        <v>2.4700000000000002</v>
      </c>
      <c r="F56" s="235">
        <v>2.46</v>
      </c>
      <c r="G56" s="235">
        <v>3.04</v>
      </c>
      <c r="H56" s="236">
        <v>3.18</v>
      </c>
      <c r="I56" s="235">
        <v>3.27</v>
      </c>
      <c r="J56" s="235">
        <v>3.48</v>
      </c>
    </row>
    <row r="57" spans="1:10" x14ac:dyDescent="0.25">
      <c r="A57" s="224" t="s">
        <v>491</v>
      </c>
      <c r="B57" s="224" t="s">
        <v>492</v>
      </c>
      <c r="C57" s="235">
        <v>2.25</v>
      </c>
      <c r="D57" s="235">
        <v>2.19</v>
      </c>
      <c r="E57" s="235">
        <v>2.4700000000000002</v>
      </c>
      <c r="F57" s="235">
        <v>2.46</v>
      </c>
      <c r="G57" s="235">
        <v>3.04</v>
      </c>
      <c r="H57" s="236">
        <v>3.18</v>
      </c>
      <c r="I57" s="235">
        <v>3.27</v>
      </c>
      <c r="J57" s="235">
        <v>3.48</v>
      </c>
    </row>
    <row r="58" spans="1:10" x14ac:dyDescent="0.25">
      <c r="A58" s="224" t="s">
        <v>493</v>
      </c>
      <c r="B58" s="224" t="s">
        <v>347</v>
      </c>
      <c r="C58" s="235">
        <v>2.3226</v>
      </c>
      <c r="D58" s="235">
        <v>2.4799000000000002</v>
      </c>
      <c r="E58" s="235">
        <v>2.6545999999999998</v>
      </c>
      <c r="F58" s="235">
        <v>2.8632</v>
      </c>
      <c r="G58" s="235">
        <v>3.0013000000000001</v>
      </c>
      <c r="H58" s="236">
        <v>3.259655</v>
      </c>
      <c r="I58" s="235">
        <v>3.27</v>
      </c>
      <c r="J58" s="235">
        <v>3.48</v>
      </c>
    </row>
    <row r="59" spans="1:10" x14ac:dyDescent="0.25">
      <c r="A59" s="224"/>
      <c r="B59" s="230"/>
      <c r="C59" s="230"/>
      <c r="D59" s="230"/>
      <c r="E59" s="230"/>
      <c r="F59" s="230"/>
      <c r="G59" s="230"/>
      <c r="H59" s="231"/>
      <c r="I59" s="230"/>
      <c r="J59" s="230"/>
    </row>
    <row r="60" spans="1:10" x14ac:dyDescent="0.25">
      <c r="A60" s="224" t="s">
        <v>494</v>
      </c>
      <c r="B60" s="230"/>
      <c r="C60" s="230"/>
      <c r="D60" s="230"/>
      <c r="E60" s="230"/>
      <c r="F60" s="230"/>
      <c r="G60" s="230"/>
      <c r="H60" s="231"/>
      <c r="I60" s="230"/>
      <c r="J60" s="230"/>
    </row>
    <row r="61" spans="1:10" x14ac:dyDescent="0.25">
      <c r="A61" s="224" t="s">
        <v>495</v>
      </c>
      <c r="B61" s="224" t="s">
        <v>496</v>
      </c>
      <c r="C61" s="230" t="s">
        <v>497</v>
      </c>
      <c r="D61" s="230" t="s">
        <v>497</v>
      </c>
      <c r="E61" s="230" t="s">
        <v>497</v>
      </c>
      <c r="F61" s="230" t="s">
        <v>497</v>
      </c>
      <c r="G61" s="230" t="s">
        <v>497</v>
      </c>
      <c r="H61" s="231"/>
      <c r="I61" s="230"/>
      <c r="J61" s="230"/>
    </row>
    <row r="62" spans="1:10" x14ac:dyDescent="0.25">
      <c r="A62" s="224" t="s">
        <v>152</v>
      </c>
      <c r="B62" s="224" t="s">
        <v>152</v>
      </c>
      <c r="C62" s="225">
        <v>12903</v>
      </c>
      <c r="D62" s="225">
        <v>14257</v>
      </c>
      <c r="E62" s="225">
        <v>14861</v>
      </c>
      <c r="F62" s="225">
        <v>12084</v>
      </c>
      <c r="G62" s="225">
        <v>15770</v>
      </c>
      <c r="H62" s="226">
        <v>15950</v>
      </c>
      <c r="I62" s="225">
        <v>17215.470588235301</v>
      </c>
      <c r="J62" s="225">
        <v>18248.588235294101</v>
      </c>
    </row>
    <row r="63" spans="1:10" x14ac:dyDescent="0.25">
      <c r="A63" s="224" t="s">
        <v>498</v>
      </c>
      <c r="B63" s="224" t="s">
        <v>499</v>
      </c>
      <c r="C63" s="235">
        <v>33.377299999999998</v>
      </c>
      <c r="D63" s="235">
        <v>33.120399999999997</v>
      </c>
      <c r="E63" s="235">
        <v>32.4589</v>
      </c>
      <c r="F63" s="235">
        <v>25.767099999999999</v>
      </c>
      <c r="G63" s="235">
        <v>32.811799999999998</v>
      </c>
      <c r="H63" s="236">
        <v>32.3417888354928</v>
      </c>
      <c r="I63" s="235">
        <v>35.072416497743703</v>
      </c>
      <c r="J63" s="235">
        <v>36.502552095872701</v>
      </c>
    </row>
    <row r="64" spans="1:10" x14ac:dyDescent="0.25">
      <c r="A64" s="224" t="s">
        <v>500</v>
      </c>
      <c r="B64" s="224" t="s">
        <v>500</v>
      </c>
      <c r="C64" s="225">
        <v>11641</v>
      </c>
      <c r="D64" s="225">
        <v>13132</v>
      </c>
      <c r="E64" s="225">
        <v>13843</v>
      </c>
      <c r="F64" s="225">
        <v>11070</v>
      </c>
      <c r="G64" s="225">
        <v>14792</v>
      </c>
      <c r="H64" s="226"/>
      <c r="I64" s="225"/>
      <c r="J64" s="225"/>
    </row>
    <row r="65" spans="1:10" x14ac:dyDescent="0.25">
      <c r="A65" s="224" t="s">
        <v>256</v>
      </c>
      <c r="B65" s="224" t="s">
        <v>256</v>
      </c>
      <c r="C65" s="225">
        <v>11109</v>
      </c>
      <c r="D65" s="225">
        <v>12600</v>
      </c>
      <c r="E65" s="225">
        <v>13336</v>
      </c>
      <c r="F65" s="225">
        <v>10647</v>
      </c>
      <c r="G65" s="225">
        <v>14315</v>
      </c>
      <c r="H65" s="226">
        <v>14903</v>
      </c>
      <c r="I65" s="225">
        <v>16000.8421052632</v>
      </c>
      <c r="J65" s="225">
        <v>16980.315789473701</v>
      </c>
    </row>
    <row r="66" spans="1:10" x14ac:dyDescent="0.25">
      <c r="A66" s="224" t="s">
        <v>375</v>
      </c>
      <c r="B66" s="224" t="s">
        <v>376</v>
      </c>
      <c r="C66" s="235">
        <v>60.137599999999999</v>
      </c>
      <c r="D66" s="235">
        <v>57.759099999999997</v>
      </c>
      <c r="E66" s="235">
        <v>59.6693</v>
      </c>
      <c r="F66" s="235">
        <v>61.0764</v>
      </c>
      <c r="G66" s="235">
        <v>61.994900000000001</v>
      </c>
      <c r="H66" s="236">
        <v>62.130705436259298</v>
      </c>
      <c r="I66" s="235">
        <v>62.070999999999998</v>
      </c>
      <c r="J66" s="235">
        <v>62.811</v>
      </c>
    </row>
    <row r="67" spans="1:10" x14ac:dyDescent="0.25">
      <c r="A67" s="224" t="s">
        <v>379</v>
      </c>
      <c r="B67" s="224" t="s">
        <v>380</v>
      </c>
      <c r="C67" s="235">
        <v>28.736599999999999</v>
      </c>
      <c r="D67" s="235">
        <v>29.271000000000001</v>
      </c>
      <c r="E67" s="235">
        <v>29.1281</v>
      </c>
      <c r="F67" s="235">
        <v>22.7029</v>
      </c>
      <c r="G67" s="235">
        <v>29.784400000000002</v>
      </c>
      <c r="H67" s="236">
        <v>30.218788653000001</v>
      </c>
      <c r="I67" s="235">
        <v>32.597899583379998</v>
      </c>
      <c r="J67" s="235">
        <v>33.965634458643102</v>
      </c>
    </row>
    <row r="68" spans="1:10" x14ac:dyDescent="0.25">
      <c r="A68" s="224" t="s">
        <v>501</v>
      </c>
      <c r="B68" s="224" t="s">
        <v>389</v>
      </c>
      <c r="C68" s="235">
        <v>26.090299999999999</v>
      </c>
      <c r="D68" s="235">
        <v>25.096399999999999</v>
      </c>
      <c r="E68" s="235">
        <v>25.150700000000001</v>
      </c>
      <c r="F68" s="235">
        <v>26.383400000000002</v>
      </c>
      <c r="G68" s="235">
        <v>26.9236</v>
      </c>
      <c r="H68" s="236">
        <v>28.505383539144699</v>
      </c>
      <c r="I68" s="235">
        <v>28.734312577034</v>
      </c>
      <c r="J68" s="235">
        <v>29.930122108384101</v>
      </c>
    </row>
    <row r="69" spans="1:10" x14ac:dyDescent="0.25">
      <c r="A69" s="224" t="s">
        <v>502</v>
      </c>
      <c r="B69" s="224" t="s">
        <v>503</v>
      </c>
      <c r="C69" s="235">
        <v>489341.77220000001</v>
      </c>
      <c r="D69" s="235">
        <v>521769.69699999999</v>
      </c>
      <c r="E69" s="235">
        <v>578811.63080000004</v>
      </c>
      <c r="F69" s="235">
        <v>672840.74609999999</v>
      </c>
      <c r="G69" s="235">
        <v>729317.14720000001</v>
      </c>
      <c r="H69" s="236"/>
      <c r="I69" s="235"/>
      <c r="J69" s="235"/>
    </row>
    <row r="70" spans="1:10" x14ac:dyDescent="0.25">
      <c r="A70" s="224" t="s">
        <v>504</v>
      </c>
      <c r="B70" s="224" t="s">
        <v>505</v>
      </c>
      <c r="C70" s="235">
        <v>1.68</v>
      </c>
      <c r="D70" s="235">
        <v>1.76</v>
      </c>
      <c r="E70" s="235">
        <v>1.84</v>
      </c>
      <c r="F70" s="235">
        <v>1.94</v>
      </c>
      <c r="G70" s="235">
        <v>2.04</v>
      </c>
      <c r="H70" s="236">
        <v>2.06</v>
      </c>
      <c r="I70" s="235">
        <v>2.1869999999999998</v>
      </c>
      <c r="J70" s="235">
        <v>2.2890000000000001</v>
      </c>
    </row>
    <row r="71" spans="1:10" x14ac:dyDescent="0.25">
      <c r="A71" s="224" t="s">
        <v>506</v>
      </c>
      <c r="B71" s="224" t="s">
        <v>507</v>
      </c>
      <c r="C71" s="225">
        <v>7249.2</v>
      </c>
      <c r="D71" s="225">
        <v>7617.28</v>
      </c>
      <c r="E71" s="225">
        <v>7954.32</v>
      </c>
      <c r="F71" s="225">
        <v>8359.4599999999991</v>
      </c>
      <c r="G71" s="225">
        <v>8778.1200000000008</v>
      </c>
      <c r="H71" s="226">
        <v>8863.65</v>
      </c>
      <c r="I71" s="225"/>
      <c r="J71" s="225"/>
    </row>
    <row r="72" spans="1:10" x14ac:dyDescent="0.25">
      <c r="A72" s="224" t="s">
        <v>508</v>
      </c>
      <c r="B72" s="224" t="s">
        <v>509</v>
      </c>
      <c r="C72" s="225">
        <v>1262</v>
      </c>
      <c r="D72" s="225">
        <v>1125</v>
      </c>
      <c r="E72" s="225">
        <v>1018</v>
      </c>
      <c r="F72" s="225">
        <v>1014</v>
      </c>
      <c r="G72" s="225">
        <v>978</v>
      </c>
      <c r="H72" s="226"/>
      <c r="I72" s="225"/>
      <c r="J72" s="225"/>
    </row>
    <row r="73" spans="1:10" x14ac:dyDescent="0.25">
      <c r="A73" s="224" t="s">
        <v>510</v>
      </c>
      <c r="B73" s="224" t="s">
        <v>511</v>
      </c>
      <c r="C73" s="225">
        <v>342</v>
      </c>
      <c r="D73" s="225">
        <v>397</v>
      </c>
      <c r="E73" s="225">
        <v>397</v>
      </c>
      <c r="F73" s="225">
        <v>362</v>
      </c>
      <c r="G73" s="225">
        <v>405</v>
      </c>
      <c r="H73" s="226"/>
      <c r="I73" s="225"/>
      <c r="J73" s="225"/>
    </row>
    <row r="74" spans="1:10" x14ac:dyDescent="0.25">
      <c r="A74" s="239" t="s">
        <v>355</v>
      </c>
      <c r="B74" s="239"/>
      <c r="C74" s="239"/>
      <c r="D74" s="239"/>
      <c r="E74" s="239"/>
      <c r="F74" s="239"/>
      <c r="G74" s="239"/>
      <c r="H74" s="239"/>
      <c r="I74" s="239"/>
      <c r="J74" s="239"/>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01"/>
  <sheetViews>
    <sheetView topLeftCell="A33" zoomScaleNormal="100" workbookViewId="0">
      <selection activeCell="C43" sqref="C43"/>
    </sheetView>
  </sheetViews>
  <sheetFormatPr defaultColWidth="11.42578125" defaultRowHeight="15" x14ac:dyDescent="0.25"/>
  <cols>
    <col min="1" max="1" width="49.5703125" customWidth="1"/>
  </cols>
  <sheetData>
    <row r="1" spans="1:7" x14ac:dyDescent="0.25">
      <c r="A1" s="217"/>
      <c r="B1" s="217"/>
      <c r="C1" s="217"/>
      <c r="D1" s="217"/>
      <c r="E1" s="217"/>
      <c r="F1" s="217"/>
      <c r="G1" s="217"/>
    </row>
    <row r="2" spans="1:7" ht="20.25" customHeight="1" x14ac:dyDescent="0.25">
      <c r="A2" s="218" t="s">
        <v>512</v>
      </c>
      <c r="B2" s="218"/>
      <c r="C2" s="218"/>
      <c r="D2" s="218"/>
      <c r="E2" s="218"/>
      <c r="F2" s="218"/>
      <c r="G2" s="218"/>
    </row>
    <row r="3" spans="1:7" x14ac:dyDescent="0.25">
      <c r="A3" s="219"/>
      <c r="B3" s="219"/>
      <c r="C3" s="219"/>
      <c r="D3" s="219"/>
      <c r="E3" s="219"/>
      <c r="F3" s="219"/>
      <c r="G3" s="219"/>
    </row>
    <row r="4" spans="1:7" x14ac:dyDescent="0.25">
      <c r="A4" s="220" t="s">
        <v>358</v>
      </c>
      <c r="B4" s="220"/>
      <c r="C4" s="221" t="s">
        <v>307</v>
      </c>
      <c r="D4" s="221" t="s">
        <v>308</v>
      </c>
      <c r="E4" s="221" t="s">
        <v>309</v>
      </c>
      <c r="F4" s="221" t="s">
        <v>310</v>
      </c>
      <c r="G4" s="221" t="s">
        <v>311</v>
      </c>
    </row>
    <row r="5" spans="1:7" x14ac:dyDescent="0.25">
      <c r="A5" s="222" t="s">
        <v>315</v>
      </c>
      <c r="B5" s="222"/>
      <c r="C5" s="223" t="s">
        <v>318</v>
      </c>
      <c r="D5" s="223" t="s">
        <v>319</v>
      </c>
      <c r="E5" s="223" t="s">
        <v>320</v>
      </c>
      <c r="F5" s="223" t="s">
        <v>321</v>
      </c>
      <c r="G5" s="223" t="s">
        <v>322</v>
      </c>
    </row>
    <row r="6" spans="1:7" x14ac:dyDescent="0.25">
      <c r="A6" s="224" t="s">
        <v>513</v>
      </c>
      <c r="B6" s="230"/>
      <c r="C6" s="230"/>
      <c r="D6" s="230"/>
      <c r="E6" s="230"/>
      <c r="F6" s="230"/>
      <c r="G6" s="230"/>
    </row>
    <row r="7" spans="1:7" x14ac:dyDescent="0.25">
      <c r="A7" s="227" t="s">
        <v>514</v>
      </c>
      <c r="B7" s="227" t="s">
        <v>515</v>
      </c>
      <c r="C7" s="228">
        <v>12625</v>
      </c>
      <c r="D7" s="228">
        <v>11631</v>
      </c>
      <c r="E7" s="228">
        <v>13663</v>
      </c>
      <c r="F7" s="228">
        <v>14571</v>
      </c>
      <c r="G7" s="228">
        <v>15806</v>
      </c>
    </row>
    <row r="8" spans="1:7" x14ac:dyDescent="0.25">
      <c r="A8" s="227" t="s">
        <v>516</v>
      </c>
      <c r="B8" s="227" t="s">
        <v>517</v>
      </c>
      <c r="C8" s="228">
        <v>9684</v>
      </c>
      <c r="D8" s="228">
        <v>9519</v>
      </c>
      <c r="E8" s="228">
        <v>9366</v>
      </c>
      <c r="F8" s="228">
        <v>10828</v>
      </c>
      <c r="G8" s="228">
        <v>10270</v>
      </c>
    </row>
    <row r="9" spans="1:7" x14ac:dyDescent="0.25">
      <c r="A9" s="227" t="s">
        <v>518</v>
      </c>
      <c r="B9" s="227" t="s">
        <v>519</v>
      </c>
      <c r="C9" s="228">
        <v>2941</v>
      </c>
      <c r="D9" s="228">
        <v>2112</v>
      </c>
      <c r="E9" s="228">
        <v>4297</v>
      </c>
      <c r="F9" s="228">
        <v>3743</v>
      </c>
      <c r="G9" s="228">
        <v>5536</v>
      </c>
    </row>
    <row r="10" spans="1:7" x14ac:dyDescent="0.25">
      <c r="A10" s="227" t="s">
        <v>520</v>
      </c>
      <c r="B10" s="227" t="s">
        <v>521</v>
      </c>
      <c r="C10" s="228">
        <v>3512</v>
      </c>
      <c r="D10" s="228">
        <v>3487</v>
      </c>
      <c r="E10" s="228">
        <v>3410</v>
      </c>
      <c r="F10" s="228">
        <v>3569</v>
      </c>
      <c r="G10" s="228">
        <v>3038</v>
      </c>
    </row>
    <row r="11" spans="1:7" x14ac:dyDescent="0.25">
      <c r="A11" s="227" t="s">
        <v>522</v>
      </c>
      <c r="B11" s="227" t="s">
        <v>523</v>
      </c>
      <c r="C11" s="228">
        <v>3512</v>
      </c>
      <c r="D11" s="228">
        <v>3487</v>
      </c>
      <c r="E11" s="228">
        <v>3410</v>
      </c>
      <c r="F11" s="228">
        <v>3569</v>
      </c>
      <c r="G11" s="228">
        <v>3038</v>
      </c>
    </row>
    <row r="12" spans="1:7" x14ac:dyDescent="0.25">
      <c r="A12" s="227" t="s">
        <v>524</v>
      </c>
      <c r="B12" s="227" t="s">
        <v>525</v>
      </c>
      <c r="C12" s="228">
        <v>0</v>
      </c>
      <c r="D12" s="228">
        <v>0</v>
      </c>
      <c r="E12" s="228">
        <v>0</v>
      </c>
      <c r="F12" s="228">
        <v>0</v>
      </c>
      <c r="G12" s="228">
        <v>0</v>
      </c>
    </row>
    <row r="13" spans="1:7" x14ac:dyDescent="0.25">
      <c r="A13" s="227" t="s">
        <v>526</v>
      </c>
      <c r="B13" s="227" t="s">
        <v>527</v>
      </c>
      <c r="C13" s="228">
        <v>3414</v>
      </c>
      <c r="D13" s="228">
        <v>4233</v>
      </c>
      <c r="E13" s="228">
        <v>4424</v>
      </c>
      <c r="F13" s="228">
        <v>4728</v>
      </c>
      <c r="G13" s="228">
        <v>4425</v>
      </c>
    </row>
    <row r="14" spans="1:7" x14ac:dyDescent="0.25">
      <c r="A14" s="227" t="s">
        <v>528</v>
      </c>
      <c r="B14" s="227" t="s">
        <v>529</v>
      </c>
      <c r="C14" s="228">
        <v>2133</v>
      </c>
      <c r="D14" s="228">
        <v>2627</v>
      </c>
      <c r="E14" s="228">
        <v>2618</v>
      </c>
      <c r="F14" s="228">
        <v>2794</v>
      </c>
      <c r="G14" s="228">
        <v>2708</v>
      </c>
    </row>
    <row r="15" spans="1:7" x14ac:dyDescent="0.25">
      <c r="A15" s="227" t="s">
        <v>530</v>
      </c>
      <c r="B15" s="227" t="s">
        <v>531</v>
      </c>
      <c r="C15" s="228">
        <v>0</v>
      </c>
      <c r="D15" s="228">
        <v>0</v>
      </c>
      <c r="E15" s="228">
        <v>0</v>
      </c>
      <c r="F15" s="228">
        <v>0</v>
      </c>
      <c r="G15" s="228">
        <v>0</v>
      </c>
    </row>
    <row r="16" spans="1:7" x14ac:dyDescent="0.25">
      <c r="A16" s="227" t="s">
        <v>532</v>
      </c>
      <c r="B16" s="227" t="s">
        <v>533</v>
      </c>
      <c r="C16" s="228">
        <v>982</v>
      </c>
      <c r="D16" s="228">
        <v>1247</v>
      </c>
      <c r="E16" s="228">
        <v>1449</v>
      </c>
      <c r="F16" s="228">
        <v>1524</v>
      </c>
      <c r="G16" s="228">
        <v>1375</v>
      </c>
    </row>
    <row r="17" spans="1:7" x14ac:dyDescent="0.25">
      <c r="A17" s="227" t="s">
        <v>534</v>
      </c>
      <c r="B17" s="227" t="s">
        <v>535</v>
      </c>
      <c r="C17" s="228">
        <v>299</v>
      </c>
      <c r="D17" s="228">
        <v>359</v>
      </c>
      <c r="E17" s="228">
        <v>357</v>
      </c>
      <c r="F17" s="228">
        <v>410</v>
      </c>
      <c r="G17" s="228">
        <v>342</v>
      </c>
    </row>
    <row r="18" spans="1:7" x14ac:dyDescent="0.25">
      <c r="A18" s="227" t="s">
        <v>536</v>
      </c>
      <c r="B18" s="227" t="s">
        <v>537</v>
      </c>
      <c r="C18" s="228">
        <v>2994</v>
      </c>
      <c r="D18" s="228">
        <v>3240</v>
      </c>
      <c r="E18" s="228">
        <v>5235</v>
      </c>
      <c r="F18" s="228">
        <v>3129</v>
      </c>
      <c r="G18" s="228">
        <v>7775</v>
      </c>
    </row>
    <row r="19" spans="1:7" x14ac:dyDescent="0.25">
      <c r="A19" s="227" t="s">
        <v>538</v>
      </c>
      <c r="B19" s="227" t="s">
        <v>539</v>
      </c>
      <c r="C19" s="228">
        <v>196</v>
      </c>
      <c r="D19" s="228">
        <v>206</v>
      </c>
      <c r="E19" s="228">
        <v>209</v>
      </c>
      <c r="F19" s="228">
        <v>470</v>
      </c>
      <c r="G19" s="228">
        <v>247</v>
      </c>
    </row>
    <row r="20" spans="1:7" x14ac:dyDescent="0.25">
      <c r="A20" s="227" t="s">
        <v>540</v>
      </c>
      <c r="B20" s="227" t="s">
        <v>541</v>
      </c>
      <c r="C20" s="228" t="s">
        <v>383</v>
      </c>
      <c r="D20" s="228" t="s">
        <v>383</v>
      </c>
      <c r="E20" s="228" t="s">
        <v>383</v>
      </c>
      <c r="F20" s="228" t="s">
        <v>383</v>
      </c>
      <c r="G20" s="228">
        <v>5342</v>
      </c>
    </row>
    <row r="21" spans="1:7" x14ac:dyDescent="0.25">
      <c r="A21" s="227" t="s">
        <v>460</v>
      </c>
      <c r="B21" s="227" t="s">
        <v>542</v>
      </c>
      <c r="C21" s="228" t="s">
        <v>383</v>
      </c>
      <c r="D21" s="228" t="s">
        <v>383</v>
      </c>
      <c r="E21" s="228" t="s">
        <v>383</v>
      </c>
      <c r="F21" s="228" t="s">
        <v>383</v>
      </c>
      <c r="G21" s="228" t="s">
        <v>383</v>
      </c>
    </row>
    <row r="22" spans="1:7" x14ac:dyDescent="0.25">
      <c r="A22" s="227" t="s">
        <v>543</v>
      </c>
      <c r="B22" s="227" t="s">
        <v>544</v>
      </c>
      <c r="C22" s="228">
        <v>2798</v>
      </c>
      <c r="D22" s="228">
        <v>3034</v>
      </c>
      <c r="E22" s="228">
        <v>5026</v>
      </c>
      <c r="F22" s="228">
        <v>2659</v>
      </c>
      <c r="G22" s="228">
        <v>2186</v>
      </c>
    </row>
    <row r="23" spans="1:7" x14ac:dyDescent="0.25">
      <c r="A23" s="224" t="s">
        <v>545</v>
      </c>
      <c r="B23" s="224" t="s">
        <v>546</v>
      </c>
      <c r="C23" s="225">
        <v>22545</v>
      </c>
      <c r="D23" s="225">
        <v>22591</v>
      </c>
      <c r="E23" s="225">
        <v>26732</v>
      </c>
      <c r="F23" s="225">
        <v>25997</v>
      </c>
      <c r="G23" s="225">
        <v>31044</v>
      </c>
    </row>
    <row r="24" spans="1:7" x14ac:dyDescent="0.25">
      <c r="A24" s="227" t="s">
        <v>547</v>
      </c>
      <c r="B24" s="227" t="s">
        <v>548</v>
      </c>
      <c r="C24" s="228">
        <v>11338</v>
      </c>
      <c r="D24" s="228">
        <v>11247</v>
      </c>
      <c r="E24" s="228">
        <v>10564</v>
      </c>
      <c r="F24" s="228">
        <v>11485</v>
      </c>
      <c r="G24" s="228">
        <v>11310</v>
      </c>
    </row>
    <row r="25" spans="1:7" x14ac:dyDescent="0.25">
      <c r="A25" s="227" t="s">
        <v>549</v>
      </c>
      <c r="B25" s="227" t="s">
        <v>550</v>
      </c>
      <c r="C25" s="228">
        <v>20280</v>
      </c>
      <c r="D25" s="228">
        <v>20481</v>
      </c>
      <c r="E25" s="228">
        <v>19797</v>
      </c>
      <c r="F25" s="228">
        <v>21055</v>
      </c>
      <c r="G25" s="228">
        <v>20429</v>
      </c>
    </row>
    <row r="26" spans="1:7" x14ac:dyDescent="0.25">
      <c r="A26" s="227" t="s">
        <v>551</v>
      </c>
      <c r="B26" s="227" t="s">
        <v>552</v>
      </c>
      <c r="C26" s="228">
        <v>8942</v>
      </c>
      <c r="D26" s="228">
        <v>9234</v>
      </c>
      <c r="E26" s="228">
        <v>9233</v>
      </c>
      <c r="F26" s="228">
        <v>9570</v>
      </c>
      <c r="G26" s="228">
        <v>9119</v>
      </c>
    </row>
    <row r="27" spans="1:7" x14ac:dyDescent="0.25">
      <c r="A27" s="227" t="s">
        <v>553</v>
      </c>
      <c r="B27" s="227" t="s">
        <v>554</v>
      </c>
      <c r="C27" s="228">
        <v>818</v>
      </c>
      <c r="D27" s="228">
        <v>501</v>
      </c>
      <c r="E27" s="228">
        <v>118</v>
      </c>
      <c r="F27" s="228">
        <v>0</v>
      </c>
      <c r="G27" s="228">
        <v>0</v>
      </c>
    </row>
    <row r="28" spans="1:7" x14ac:dyDescent="0.25">
      <c r="A28" s="227" t="s">
        <v>555</v>
      </c>
      <c r="B28" s="227" t="s">
        <v>556</v>
      </c>
      <c r="C28" s="228">
        <v>818</v>
      </c>
      <c r="D28" s="228">
        <v>501</v>
      </c>
      <c r="E28" s="228">
        <v>118</v>
      </c>
      <c r="F28" s="228" t="s">
        <v>383</v>
      </c>
      <c r="G28" s="228" t="s">
        <v>383</v>
      </c>
    </row>
    <row r="29" spans="1:7" x14ac:dyDescent="0.25">
      <c r="A29" s="227" t="s">
        <v>557</v>
      </c>
      <c r="B29" s="227" t="s">
        <v>558</v>
      </c>
      <c r="C29" s="228">
        <v>59653</v>
      </c>
      <c r="D29" s="228">
        <v>58424</v>
      </c>
      <c r="E29" s="228">
        <v>60289</v>
      </c>
      <c r="F29" s="228">
        <v>63067</v>
      </c>
      <c r="G29" s="228">
        <v>62462</v>
      </c>
    </row>
    <row r="30" spans="1:7" x14ac:dyDescent="0.25">
      <c r="A30" s="227" t="s">
        <v>559</v>
      </c>
      <c r="B30" s="227" t="s">
        <v>560</v>
      </c>
      <c r="C30" s="228">
        <v>34613</v>
      </c>
      <c r="D30" s="228">
        <v>33631</v>
      </c>
      <c r="E30" s="228">
        <v>33223</v>
      </c>
      <c r="F30" s="228">
        <v>31440</v>
      </c>
      <c r="G30" s="228">
        <v>28022</v>
      </c>
    </row>
    <row r="31" spans="1:7" x14ac:dyDescent="0.25">
      <c r="A31" s="232" t="s">
        <v>561</v>
      </c>
      <c r="B31" s="232" t="s">
        <v>562</v>
      </c>
      <c r="C31" s="233">
        <v>19363</v>
      </c>
      <c r="D31" s="233">
        <v>18782</v>
      </c>
      <c r="E31" s="233">
        <v>18358</v>
      </c>
      <c r="F31" s="233">
        <v>18139</v>
      </c>
      <c r="G31" s="233">
        <v>15491</v>
      </c>
    </row>
    <row r="32" spans="1:7" x14ac:dyDescent="0.25">
      <c r="A32" s="232" t="s">
        <v>563</v>
      </c>
      <c r="B32" s="232" t="s">
        <v>564</v>
      </c>
      <c r="C32" s="233">
        <v>15250</v>
      </c>
      <c r="D32" s="233">
        <v>14849</v>
      </c>
      <c r="E32" s="233">
        <v>14865</v>
      </c>
      <c r="F32" s="233">
        <v>13301</v>
      </c>
      <c r="G32" s="233">
        <v>12531</v>
      </c>
    </row>
    <row r="33" spans="1:7" x14ac:dyDescent="0.25">
      <c r="A33" s="227" t="s">
        <v>565</v>
      </c>
      <c r="B33" s="227" t="s">
        <v>566</v>
      </c>
      <c r="C33" s="228">
        <v>2129</v>
      </c>
      <c r="D33" s="228">
        <v>1746</v>
      </c>
      <c r="E33" s="228">
        <v>1561</v>
      </c>
      <c r="F33" s="228">
        <v>1319</v>
      </c>
      <c r="G33" s="228">
        <v>1206</v>
      </c>
    </row>
    <row r="34" spans="1:7" x14ac:dyDescent="0.25">
      <c r="A34" s="227" t="s">
        <v>567</v>
      </c>
      <c r="B34" s="227" t="s">
        <v>568</v>
      </c>
      <c r="C34" s="228">
        <v>312</v>
      </c>
      <c r="D34" s="228">
        <v>38</v>
      </c>
      <c r="E34" s="228">
        <v>66</v>
      </c>
      <c r="F34" s="228">
        <v>117</v>
      </c>
      <c r="G34" s="228">
        <v>194</v>
      </c>
    </row>
    <row r="35" spans="1:7" x14ac:dyDescent="0.25">
      <c r="A35" s="227" t="s">
        <v>569</v>
      </c>
      <c r="B35" s="227" t="s">
        <v>570</v>
      </c>
      <c r="C35" s="228">
        <v>1545</v>
      </c>
      <c r="D35" s="228">
        <v>1602</v>
      </c>
      <c r="E35" s="228">
        <v>1543</v>
      </c>
      <c r="F35" s="228">
        <v>1219</v>
      </c>
      <c r="G35" s="228">
        <v>1116</v>
      </c>
    </row>
    <row r="36" spans="1:7" x14ac:dyDescent="0.25">
      <c r="A36" s="227" t="s">
        <v>571</v>
      </c>
      <c r="B36" s="227" t="s">
        <v>572</v>
      </c>
      <c r="C36" s="228">
        <v>17598</v>
      </c>
      <c r="D36" s="228">
        <v>18264</v>
      </c>
      <c r="E36" s="228">
        <v>19671</v>
      </c>
      <c r="F36" s="228">
        <v>18087</v>
      </c>
      <c r="G36" s="228">
        <v>20235</v>
      </c>
    </row>
    <row r="37" spans="1:7" x14ac:dyDescent="0.25">
      <c r="A37" s="227" t="s">
        <v>573</v>
      </c>
      <c r="B37" s="227" t="s">
        <v>574</v>
      </c>
      <c r="C37" s="228">
        <v>3456</v>
      </c>
      <c r="D37" s="228">
        <v>3143</v>
      </c>
      <c r="E37" s="228">
        <v>4225</v>
      </c>
      <c r="F37" s="228">
        <v>10885</v>
      </c>
      <c r="G37" s="228">
        <v>11689</v>
      </c>
    </row>
    <row r="38" spans="1:7" x14ac:dyDescent="0.25">
      <c r="A38" s="224" t="s">
        <v>575</v>
      </c>
      <c r="B38" s="224" t="s">
        <v>576</v>
      </c>
      <c r="C38" s="225">
        <v>71809</v>
      </c>
      <c r="D38" s="225">
        <v>70172</v>
      </c>
      <c r="E38" s="225">
        <v>70971</v>
      </c>
      <c r="F38" s="225">
        <v>74552</v>
      </c>
      <c r="G38" s="225">
        <v>73772</v>
      </c>
    </row>
    <row r="39" spans="1:7" x14ac:dyDescent="0.25">
      <c r="A39" s="224" t="s">
        <v>577</v>
      </c>
      <c r="B39" s="224" t="s">
        <v>578</v>
      </c>
      <c r="C39" s="225">
        <v>94354</v>
      </c>
      <c r="D39" s="225">
        <v>92763</v>
      </c>
      <c r="E39" s="225">
        <v>97703</v>
      </c>
      <c r="F39" s="225">
        <v>100549</v>
      </c>
      <c r="G39" s="225">
        <v>104816</v>
      </c>
    </row>
    <row r="40" spans="1:7" x14ac:dyDescent="0.25">
      <c r="A40" s="224"/>
      <c r="B40" s="230"/>
      <c r="C40" s="230"/>
      <c r="D40" s="230"/>
      <c r="E40" s="230"/>
      <c r="F40" s="230"/>
      <c r="G40" s="230"/>
    </row>
    <row r="41" spans="1:7" x14ac:dyDescent="0.25">
      <c r="A41" s="224" t="s">
        <v>579</v>
      </c>
      <c r="B41" s="230"/>
      <c r="C41" s="230"/>
      <c r="D41" s="230"/>
      <c r="E41" s="230"/>
      <c r="F41" s="230"/>
      <c r="G41" s="230"/>
    </row>
    <row r="42" spans="1:7" x14ac:dyDescent="0.25">
      <c r="A42" s="227" t="s">
        <v>580</v>
      </c>
      <c r="B42" s="227" t="s">
        <v>581</v>
      </c>
      <c r="C42" s="228">
        <v>14940</v>
      </c>
      <c r="D42" s="228">
        <v>16435</v>
      </c>
      <c r="E42" s="228">
        <v>16402</v>
      </c>
      <c r="F42" s="228">
        <v>22666</v>
      </c>
      <c r="G42" s="228">
        <v>14708</v>
      </c>
    </row>
    <row r="43" spans="1:7" x14ac:dyDescent="0.25">
      <c r="A43" s="227" t="s">
        <v>582</v>
      </c>
      <c r="B43" s="227" t="s">
        <v>583</v>
      </c>
      <c r="C43" s="228">
        <v>4602</v>
      </c>
      <c r="D43" s="228">
        <v>5307</v>
      </c>
      <c r="E43" s="228">
        <v>5590</v>
      </c>
      <c r="F43" s="228">
        <v>5468</v>
      </c>
      <c r="G43" s="228">
        <v>5649</v>
      </c>
    </row>
    <row r="44" spans="1:7" x14ac:dyDescent="0.25">
      <c r="A44" s="227" t="s">
        <v>584</v>
      </c>
      <c r="B44" s="227" t="s">
        <v>585</v>
      </c>
      <c r="C44" s="228">
        <v>686</v>
      </c>
      <c r="D44" s="228">
        <v>1203</v>
      </c>
      <c r="E44" s="228">
        <v>1569</v>
      </c>
      <c r="F44" s="228">
        <v>1387</v>
      </c>
      <c r="G44" s="228">
        <v>525</v>
      </c>
    </row>
    <row r="45" spans="1:7" x14ac:dyDescent="0.25">
      <c r="A45" s="227" t="s">
        <v>586</v>
      </c>
      <c r="B45" s="227" t="s">
        <v>587</v>
      </c>
      <c r="C45" s="228" t="s">
        <v>383</v>
      </c>
      <c r="D45" s="228" t="s">
        <v>383</v>
      </c>
      <c r="E45" s="228" t="s">
        <v>383</v>
      </c>
      <c r="F45" s="228" t="s">
        <v>383</v>
      </c>
      <c r="G45" s="228" t="s">
        <v>383</v>
      </c>
    </row>
    <row r="46" spans="1:7" x14ac:dyDescent="0.25">
      <c r="A46" s="227" t="s">
        <v>588</v>
      </c>
      <c r="B46" s="227" t="s">
        <v>589</v>
      </c>
      <c r="C46" s="228">
        <v>9652</v>
      </c>
      <c r="D46" s="228">
        <v>9925</v>
      </c>
      <c r="E46" s="228">
        <v>9243</v>
      </c>
      <c r="F46" s="228">
        <v>15811</v>
      </c>
      <c r="G46" s="228">
        <v>8534</v>
      </c>
    </row>
    <row r="47" spans="1:7" s="244" customFormat="1" x14ac:dyDescent="0.25">
      <c r="A47" s="242" t="s">
        <v>590</v>
      </c>
      <c r="B47" s="242" t="s">
        <v>591</v>
      </c>
      <c r="C47" s="243">
        <v>4955</v>
      </c>
      <c r="D47" s="243">
        <v>3113</v>
      </c>
      <c r="E47" s="243">
        <v>6878</v>
      </c>
      <c r="F47" s="243">
        <v>2437</v>
      </c>
      <c r="G47" s="243">
        <v>3694</v>
      </c>
    </row>
    <row r="48" spans="1:7" x14ac:dyDescent="0.25">
      <c r="A48" s="227" t="s">
        <v>592</v>
      </c>
      <c r="B48" s="227" t="s">
        <v>593</v>
      </c>
      <c r="C48" s="228">
        <v>3307</v>
      </c>
      <c r="D48" s="228">
        <v>2373</v>
      </c>
      <c r="E48" s="228">
        <v>4557</v>
      </c>
      <c r="F48" s="228">
        <v>1499</v>
      </c>
      <c r="G48" s="228">
        <v>1551</v>
      </c>
    </row>
    <row r="49" spans="1:7" x14ac:dyDescent="0.25">
      <c r="A49" s="227" t="s">
        <v>594</v>
      </c>
      <c r="B49" s="227" t="s">
        <v>595</v>
      </c>
      <c r="C49" s="228">
        <v>310</v>
      </c>
      <c r="D49" s="228">
        <v>341</v>
      </c>
      <c r="E49" s="228">
        <v>361</v>
      </c>
      <c r="F49" s="228">
        <v>290</v>
      </c>
      <c r="G49" s="228">
        <v>321</v>
      </c>
    </row>
    <row r="50" spans="1:7" x14ac:dyDescent="0.25">
      <c r="A50" s="232" t="s">
        <v>596</v>
      </c>
      <c r="B50" s="232" t="s">
        <v>597</v>
      </c>
      <c r="C50" s="233" t="s">
        <v>383</v>
      </c>
      <c r="D50" s="233" t="s">
        <v>383</v>
      </c>
      <c r="E50" s="233" t="s">
        <v>383</v>
      </c>
      <c r="F50" s="233" t="s">
        <v>383</v>
      </c>
      <c r="G50" s="233" t="s">
        <v>383</v>
      </c>
    </row>
    <row r="51" spans="1:7" x14ac:dyDescent="0.25">
      <c r="A51" s="232" t="s">
        <v>598</v>
      </c>
      <c r="B51" s="232" t="s">
        <v>599</v>
      </c>
      <c r="C51" s="233">
        <v>310</v>
      </c>
      <c r="D51" s="233">
        <v>341</v>
      </c>
      <c r="E51" s="233">
        <v>361</v>
      </c>
      <c r="F51" s="233">
        <v>290</v>
      </c>
      <c r="G51" s="233">
        <v>321</v>
      </c>
    </row>
    <row r="52" spans="1:7" x14ac:dyDescent="0.25">
      <c r="A52" s="227" t="s">
        <v>600</v>
      </c>
      <c r="B52" s="227" t="s">
        <v>601</v>
      </c>
      <c r="C52" s="228">
        <v>1338</v>
      </c>
      <c r="D52" s="228">
        <v>399</v>
      </c>
      <c r="E52" s="228">
        <v>1960</v>
      </c>
      <c r="F52" s="228">
        <v>648</v>
      </c>
      <c r="G52" s="228">
        <v>1822</v>
      </c>
    </row>
    <row r="53" spans="1:7" x14ac:dyDescent="0.25">
      <c r="A53" s="227" t="s">
        <v>602</v>
      </c>
      <c r="B53" s="227" t="s">
        <v>603</v>
      </c>
      <c r="C53" s="228">
        <v>55</v>
      </c>
      <c r="D53" s="228">
        <v>176</v>
      </c>
      <c r="E53" s="228">
        <v>291</v>
      </c>
      <c r="F53" s="228">
        <v>146</v>
      </c>
      <c r="G53" s="228">
        <v>2879</v>
      </c>
    </row>
    <row r="54" spans="1:7" x14ac:dyDescent="0.25">
      <c r="A54" s="227" t="s">
        <v>604</v>
      </c>
      <c r="B54" s="227" t="s">
        <v>605</v>
      </c>
      <c r="C54" s="228">
        <v>0</v>
      </c>
      <c r="D54" s="228">
        <v>0</v>
      </c>
      <c r="E54" s="228">
        <v>0</v>
      </c>
      <c r="F54" s="228">
        <v>0</v>
      </c>
      <c r="G54" s="228">
        <v>0</v>
      </c>
    </row>
    <row r="55" spans="1:7" x14ac:dyDescent="0.25">
      <c r="A55" s="227" t="s">
        <v>606</v>
      </c>
      <c r="B55" s="227" t="s">
        <v>607</v>
      </c>
      <c r="C55" s="228">
        <v>55</v>
      </c>
      <c r="D55" s="228">
        <v>176</v>
      </c>
      <c r="E55" s="228">
        <v>291</v>
      </c>
      <c r="F55" s="228">
        <v>146</v>
      </c>
      <c r="G55" s="228">
        <v>309</v>
      </c>
    </row>
    <row r="56" spans="1:7" x14ac:dyDescent="0.25">
      <c r="A56" s="227" t="s">
        <v>460</v>
      </c>
      <c r="B56" s="227" t="s">
        <v>608</v>
      </c>
      <c r="C56" s="228" t="s">
        <v>383</v>
      </c>
      <c r="D56" s="228" t="s">
        <v>383</v>
      </c>
      <c r="E56" s="228" t="s">
        <v>383</v>
      </c>
      <c r="F56" s="228" t="s">
        <v>383</v>
      </c>
      <c r="G56" s="228" t="s">
        <v>383</v>
      </c>
    </row>
    <row r="57" spans="1:7" x14ac:dyDescent="0.25">
      <c r="A57" s="227" t="s">
        <v>609</v>
      </c>
      <c r="B57" s="227" t="s">
        <v>610</v>
      </c>
      <c r="C57" s="228">
        <v>0</v>
      </c>
      <c r="D57" s="228">
        <v>0</v>
      </c>
      <c r="E57" s="228">
        <v>0</v>
      </c>
      <c r="F57" s="228">
        <v>0</v>
      </c>
      <c r="G57" s="228">
        <v>2570</v>
      </c>
    </row>
    <row r="58" spans="1:7" x14ac:dyDescent="0.25">
      <c r="A58" s="224" t="s">
        <v>611</v>
      </c>
      <c r="B58" s="224" t="s">
        <v>612</v>
      </c>
      <c r="C58" s="225">
        <v>19950</v>
      </c>
      <c r="D58" s="225">
        <v>19724</v>
      </c>
      <c r="E58" s="225">
        <v>23571</v>
      </c>
      <c r="F58" s="225">
        <v>25249</v>
      </c>
      <c r="G58" s="225">
        <v>21281</v>
      </c>
    </row>
    <row r="59" spans="1:7" s="244" customFormat="1" x14ac:dyDescent="0.25">
      <c r="A59" s="242" t="s">
        <v>613</v>
      </c>
      <c r="B59" s="242" t="s">
        <v>614</v>
      </c>
      <c r="C59" s="243">
        <v>39277</v>
      </c>
      <c r="D59" s="243">
        <v>37490</v>
      </c>
      <c r="E59" s="243">
        <v>36548</v>
      </c>
      <c r="F59" s="243">
        <v>43298</v>
      </c>
      <c r="G59" s="243">
        <v>43520</v>
      </c>
    </row>
    <row r="60" spans="1:7" x14ac:dyDescent="0.25">
      <c r="A60" s="227" t="s">
        <v>615</v>
      </c>
      <c r="B60" s="227" t="s">
        <v>616</v>
      </c>
      <c r="C60" s="228">
        <v>38116</v>
      </c>
      <c r="D60" s="228">
        <v>36377</v>
      </c>
      <c r="E60" s="228">
        <v>35547</v>
      </c>
      <c r="F60" s="228">
        <v>42375</v>
      </c>
      <c r="G60" s="228">
        <v>42119</v>
      </c>
    </row>
    <row r="61" spans="1:7" x14ac:dyDescent="0.25">
      <c r="A61" s="227" t="s">
        <v>617</v>
      </c>
      <c r="B61" s="227" t="s">
        <v>618</v>
      </c>
      <c r="C61" s="228">
        <v>1161</v>
      </c>
      <c r="D61" s="228">
        <v>1113</v>
      </c>
      <c r="E61" s="228">
        <v>1001</v>
      </c>
      <c r="F61" s="228">
        <v>923</v>
      </c>
      <c r="G61" s="228">
        <v>1401</v>
      </c>
    </row>
    <row r="62" spans="1:7" x14ac:dyDescent="0.25">
      <c r="A62" s="232" t="s">
        <v>619</v>
      </c>
      <c r="B62" s="232" t="s">
        <v>620</v>
      </c>
      <c r="C62" s="233" t="s">
        <v>383</v>
      </c>
      <c r="D62" s="233" t="s">
        <v>383</v>
      </c>
      <c r="E62" s="233" t="s">
        <v>383</v>
      </c>
      <c r="F62" s="233" t="s">
        <v>383</v>
      </c>
      <c r="G62" s="233" t="s">
        <v>383</v>
      </c>
    </row>
    <row r="63" spans="1:7" x14ac:dyDescent="0.25">
      <c r="A63" s="232" t="s">
        <v>621</v>
      </c>
      <c r="B63" s="232" t="s">
        <v>622</v>
      </c>
      <c r="C63" s="233">
        <v>1161</v>
      </c>
      <c r="D63" s="233">
        <v>1113</v>
      </c>
      <c r="E63" s="233">
        <v>1001</v>
      </c>
      <c r="F63" s="233">
        <v>923</v>
      </c>
      <c r="G63" s="233">
        <v>1401</v>
      </c>
    </row>
    <row r="64" spans="1:7" x14ac:dyDescent="0.25">
      <c r="A64" s="227" t="s">
        <v>623</v>
      </c>
      <c r="B64" s="227" t="s">
        <v>624</v>
      </c>
      <c r="C64" s="228">
        <v>10267</v>
      </c>
      <c r="D64" s="228">
        <v>9723</v>
      </c>
      <c r="E64" s="228">
        <v>10104</v>
      </c>
      <c r="F64" s="228">
        <v>5630</v>
      </c>
      <c r="G64" s="228">
        <v>5740</v>
      </c>
    </row>
    <row r="65" spans="1:7" x14ac:dyDescent="0.25">
      <c r="A65" s="227" t="s">
        <v>625</v>
      </c>
      <c r="B65" s="227" t="s">
        <v>626</v>
      </c>
      <c r="C65" s="228">
        <v>0</v>
      </c>
      <c r="D65" s="228">
        <v>0</v>
      </c>
      <c r="E65" s="228">
        <v>0</v>
      </c>
      <c r="F65" s="228">
        <v>0</v>
      </c>
      <c r="G65" s="228">
        <v>0</v>
      </c>
    </row>
    <row r="66" spans="1:7" x14ac:dyDescent="0.25">
      <c r="A66" s="227" t="s">
        <v>627</v>
      </c>
      <c r="B66" s="227" t="s">
        <v>628</v>
      </c>
      <c r="C66" s="228">
        <v>1409</v>
      </c>
      <c r="D66" s="228">
        <v>855</v>
      </c>
      <c r="E66" s="228">
        <v>877</v>
      </c>
      <c r="F66" s="228">
        <v>871</v>
      </c>
      <c r="G66" s="228">
        <v>8</v>
      </c>
    </row>
    <row r="67" spans="1:7" x14ac:dyDescent="0.25">
      <c r="A67" s="227" t="s">
        <v>604</v>
      </c>
      <c r="B67" s="227" t="s">
        <v>629</v>
      </c>
      <c r="C67" s="228">
        <v>0</v>
      </c>
      <c r="D67" s="228">
        <v>0</v>
      </c>
      <c r="E67" s="228">
        <v>0</v>
      </c>
      <c r="F67" s="228">
        <v>0</v>
      </c>
      <c r="G67" s="228">
        <v>0</v>
      </c>
    </row>
    <row r="68" spans="1:7" x14ac:dyDescent="0.25">
      <c r="A68" s="227" t="s">
        <v>630</v>
      </c>
      <c r="B68" s="227" t="s">
        <v>631</v>
      </c>
      <c r="C68" s="228">
        <v>2821</v>
      </c>
      <c r="D68" s="228">
        <v>2914</v>
      </c>
      <c r="E68" s="228">
        <v>2639</v>
      </c>
      <c r="F68" s="228">
        <v>2469</v>
      </c>
      <c r="G68" s="228">
        <v>2406</v>
      </c>
    </row>
    <row r="69" spans="1:7" x14ac:dyDescent="0.25">
      <c r="A69" s="227" t="s">
        <v>606</v>
      </c>
      <c r="B69" s="227" t="s">
        <v>632</v>
      </c>
      <c r="C69" s="228">
        <v>1</v>
      </c>
      <c r="D69" s="228">
        <v>25</v>
      </c>
      <c r="E69" s="228">
        <v>1157</v>
      </c>
      <c r="F69" s="228">
        <v>973</v>
      </c>
      <c r="G69" s="228">
        <v>740</v>
      </c>
    </row>
    <row r="70" spans="1:7" x14ac:dyDescent="0.25">
      <c r="A70" s="227" t="s">
        <v>633</v>
      </c>
      <c r="B70" s="227" t="s">
        <v>634</v>
      </c>
      <c r="C70" s="228">
        <v>6036</v>
      </c>
      <c r="D70" s="228">
        <v>5929</v>
      </c>
      <c r="E70" s="228">
        <v>5431</v>
      </c>
      <c r="F70" s="228">
        <v>1317</v>
      </c>
      <c r="G70" s="228">
        <v>2586</v>
      </c>
    </row>
    <row r="71" spans="1:7" x14ac:dyDescent="0.25">
      <c r="A71" s="224" t="s">
        <v>635</v>
      </c>
      <c r="B71" s="224" t="s">
        <v>636</v>
      </c>
      <c r="C71" s="225">
        <v>49544</v>
      </c>
      <c r="D71" s="225">
        <v>47213</v>
      </c>
      <c r="E71" s="225">
        <v>46652</v>
      </c>
      <c r="F71" s="225">
        <v>48928</v>
      </c>
      <c r="G71" s="225">
        <v>49260</v>
      </c>
    </row>
    <row r="72" spans="1:7" x14ac:dyDescent="0.25">
      <c r="A72" s="224" t="s">
        <v>637</v>
      </c>
      <c r="B72" s="224" t="s">
        <v>638</v>
      </c>
      <c r="C72" s="225">
        <v>69494</v>
      </c>
      <c r="D72" s="225">
        <v>66937</v>
      </c>
      <c r="E72" s="225">
        <v>70223</v>
      </c>
      <c r="F72" s="225">
        <v>74177</v>
      </c>
      <c r="G72" s="225">
        <v>70541</v>
      </c>
    </row>
    <row r="73" spans="1:7" x14ac:dyDescent="0.25">
      <c r="A73" s="227" t="s">
        <v>639</v>
      </c>
      <c r="B73" s="227" t="s">
        <v>640</v>
      </c>
      <c r="C73" s="228">
        <v>0</v>
      </c>
      <c r="D73" s="228">
        <v>0</v>
      </c>
      <c r="E73" s="228">
        <v>0</v>
      </c>
      <c r="F73" s="228">
        <v>0</v>
      </c>
      <c r="G73" s="228">
        <v>0</v>
      </c>
    </row>
    <row r="74" spans="1:7" x14ac:dyDescent="0.25">
      <c r="A74" s="227" t="s">
        <v>641</v>
      </c>
      <c r="B74" s="227" t="s">
        <v>642</v>
      </c>
      <c r="C74" s="228">
        <v>19876</v>
      </c>
      <c r="D74" s="228">
        <v>20582</v>
      </c>
      <c r="E74" s="228">
        <v>20969</v>
      </c>
      <c r="F74" s="228">
        <v>21561</v>
      </c>
      <c r="G74" s="228">
        <v>22341</v>
      </c>
    </row>
    <row r="75" spans="1:7" x14ac:dyDescent="0.25">
      <c r="A75" s="227" t="s">
        <v>643</v>
      </c>
      <c r="B75" s="227" t="s">
        <v>644</v>
      </c>
      <c r="C75" s="228">
        <v>1760</v>
      </c>
      <c r="D75" s="228">
        <v>1760</v>
      </c>
      <c r="E75" s="228">
        <v>1760</v>
      </c>
      <c r="F75" s="228">
        <v>1760</v>
      </c>
      <c r="G75" s="228">
        <v>1760</v>
      </c>
    </row>
    <row r="76" spans="1:7" x14ac:dyDescent="0.25">
      <c r="A76" s="227" t="s">
        <v>645</v>
      </c>
      <c r="B76" s="227" t="s">
        <v>646</v>
      </c>
      <c r="C76" s="228">
        <v>18116</v>
      </c>
      <c r="D76" s="228">
        <v>18822</v>
      </c>
      <c r="E76" s="228">
        <v>19209</v>
      </c>
      <c r="F76" s="228">
        <v>19801</v>
      </c>
      <c r="G76" s="228">
        <v>20581</v>
      </c>
    </row>
    <row r="77" spans="1:7" x14ac:dyDescent="0.25">
      <c r="A77" s="227" t="s">
        <v>647</v>
      </c>
      <c r="B77" s="227" t="s">
        <v>648</v>
      </c>
      <c r="C77" s="228">
        <v>51641</v>
      </c>
      <c r="D77" s="228">
        <v>52601</v>
      </c>
      <c r="E77" s="228">
        <v>54535</v>
      </c>
      <c r="F77" s="228">
        <v>55916</v>
      </c>
      <c r="G77" s="228">
        <v>56423</v>
      </c>
    </row>
    <row r="78" spans="1:7" x14ac:dyDescent="0.25">
      <c r="A78" s="227" t="s">
        <v>649</v>
      </c>
      <c r="B78" s="227" t="s">
        <v>650</v>
      </c>
      <c r="C78" s="228">
        <v>69094</v>
      </c>
      <c r="D78" s="228">
        <v>71019</v>
      </c>
      <c r="E78" s="228">
        <v>73782</v>
      </c>
      <c r="F78" s="228">
        <v>76054</v>
      </c>
      <c r="G78" s="228">
        <v>80382</v>
      </c>
    </row>
    <row r="79" spans="1:7" x14ac:dyDescent="0.25">
      <c r="A79" s="227" t="s">
        <v>651</v>
      </c>
      <c r="B79" s="227" t="s">
        <v>652</v>
      </c>
      <c r="C79" s="228">
        <v>-14330</v>
      </c>
      <c r="D79" s="228">
        <v>-14895</v>
      </c>
      <c r="E79" s="228">
        <v>-14275</v>
      </c>
      <c r="F79" s="228">
        <v>-16843</v>
      </c>
      <c r="G79" s="228">
        <v>-14131</v>
      </c>
    </row>
    <row r="80" spans="1:7" x14ac:dyDescent="0.25">
      <c r="A80" s="224" t="s">
        <v>653</v>
      </c>
      <c r="B80" s="224" t="s">
        <v>654</v>
      </c>
      <c r="C80" s="225">
        <v>22999</v>
      </c>
      <c r="D80" s="225">
        <v>24105</v>
      </c>
      <c r="E80" s="225">
        <v>25941</v>
      </c>
      <c r="F80" s="225">
        <v>24856</v>
      </c>
      <c r="G80" s="225">
        <v>32169</v>
      </c>
    </row>
    <row r="81" spans="1:7" x14ac:dyDescent="0.25">
      <c r="A81" s="227" t="s">
        <v>655</v>
      </c>
      <c r="B81" s="227" t="s">
        <v>656</v>
      </c>
      <c r="C81" s="228">
        <v>1861</v>
      </c>
      <c r="D81" s="228">
        <v>1721</v>
      </c>
      <c r="E81" s="228">
        <v>1539</v>
      </c>
      <c r="F81" s="228">
        <v>1516</v>
      </c>
      <c r="G81" s="228">
        <v>2106</v>
      </c>
    </row>
    <row r="82" spans="1:7" x14ac:dyDescent="0.25">
      <c r="A82" s="224" t="s">
        <v>657</v>
      </c>
      <c r="B82" s="224" t="s">
        <v>658</v>
      </c>
      <c r="C82" s="225">
        <v>24860</v>
      </c>
      <c r="D82" s="225">
        <v>25826</v>
      </c>
      <c r="E82" s="225">
        <v>27480</v>
      </c>
      <c r="F82" s="225">
        <v>26372</v>
      </c>
      <c r="G82" s="225">
        <v>34275</v>
      </c>
    </row>
    <row r="83" spans="1:7" x14ac:dyDescent="0.25">
      <c r="A83" s="224" t="s">
        <v>659</v>
      </c>
      <c r="B83" s="224" t="s">
        <v>660</v>
      </c>
      <c r="C83" s="225">
        <v>94354</v>
      </c>
      <c r="D83" s="225">
        <v>92763</v>
      </c>
      <c r="E83" s="225">
        <v>97703</v>
      </c>
      <c r="F83" s="225">
        <v>100549</v>
      </c>
      <c r="G83" s="225">
        <v>104816</v>
      </c>
    </row>
    <row r="84" spans="1:7" x14ac:dyDescent="0.25">
      <c r="A84" s="224"/>
      <c r="B84" s="230"/>
      <c r="C84" s="230"/>
      <c r="D84" s="230"/>
      <c r="E84" s="230"/>
      <c r="F84" s="230"/>
      <c r="G84" s="230"/>
    </row>
    <row r="85" spans="1:7" x14ac:dyDescent="0.25">
      <c r="A85" s="224" t="s">
        <v>494</v>
      </c>
      <c r="B85" s="230"/>
      <c r="C85" s="230"/>
      <c r="D85" s="230"/>
      <c r="E85" s="230"/>
      <c r="F85" s="230"/>
      <c r="G85" s="230"/>
    </row>
    <row r="86" spans="1:7" x14ac:dyDescent="0.25">
      <c r="A86" s="224" t="s">
        <v>495</v>
      </c>
      <c r="B86" s="224" t="s">
        <v>496</v>
      </c>
      <c r="C86" s="230" t="s">
        <v>497</v>
      </c>
      <c r="D86" s="230" t="s">
        <v>497</v>
      </c>
      <c r="E86" s="230" t="s">
        <v>497</v>
      </c>
      <c r="F86" s="230" t="s">
        <v>497</v>
      </c>
      <c r="G86" s="230" t="s">
        <v>497</v>
      </c>
    </row>
    <row r="87" spans="1:7" x14ac:dyDescent="0.25">
      <c r="A87" s="224" t="s">
        <v>661</v>
      </c>
      <c r="B87" s="224" t="s">
        <v>662</v>
      </c>
      <c r="C87" s="225">
        <v>4325</v>
      </c>
      <c r="D87" s="225">
        <v>4328</v>
      </c>
      <c r="E87" s="225">
        <v>4308</v>
      </c>
      <c r="F87" s="225">
        <v>4302</v>
      </c>
      <c r="G87" s="225">
        <v>4302</v>
      </c>
    </row>
    <row r="88" spans="1:7" x14ac:dyDescent="0.25">
      <c r="A88" s="224" t="s">
        <v>663</v>
      </c>
      <c r="B88" s="224" t="s">
        <v>664</v>
      </c>
      <c r="C88" s="225">
        <v>2715</v>
      </c>
      <c r="D88" s="225">
        <v>2712</v>
      </c>
      <c r="E88" s="225">
        <v>2732</v>
      </c>
      <c r="F88" s="225">
        <v>2738</v>
      </c>
      <c r="G88" s="225">
        <v>2738</v>
      </c>
    </row>
    <row r="89" spans="1:7" x14ac:dyDescent="0.25">
      <c r="A89" s="224" t="s">
        <v>665</v>
      </c>
      <c r="B89" s="224" t="s">
        <v>666</v>
      </c>
      <c r="C89" s="225">
        <v>1409</v>
      </c>
      <c r="D89" s="225">
        <v>855</v>
      </c>
      <c r="E89" s="225">
        <v>877</v>
      </c>
      <c r="F89" s="225">
        <v>871</v>
      </c>
      <c r="G89" s="225">
        <v>8</v>
      </c>
    </row>
    <row r="90" spans="1:7" x14ac:dyDescent="0.25">
      <c r="A90" s="224" t="s">
        <v>667</v>
      </c>
      <c r="B90" s="224" t="s">
        <v>668</v>
      </c>
      <c r="C90" s="225">
        <v>1647</v>
      </c>
      <c r="D90" s="225">
        <v>1614</v>
      </c>
      <c r="E90" s="225">
        <v>1522</v>
      </c>
      <c r="F90" s="225">
        <v>1378</v>
      </c>
      <c r="G90" s="225">
        <v>2019</v>
      </c>
    </row>
    <row r="91" spans="1:7" x14ac:dyDescent="0.25">
      <c r="A91" s="224" t="s">
        <v>669</v>
      </c>
      <c r="B91" s="224" t="s">
        <v>670</v>
      </c>
      <c r="C91" s="225" t="s">
        <v>383</v>
      </c>
      <c r="D91" s="225" t="s">
        <v>383</v>
      </c>
      <c r="E91" s="225" t="s">
        <v>383</v>
      </c>
      <c r="F91" s="225" t="s">
        <v>383</v>
      </c>
      <c r="G91" s="225" t="s">
        <v>383</v>
      </c>
    </row>
    <row r="92" spans="1:7" x14ac:dyDescent="0.25">
      <c r="A92" s="224" t="s">
        <v>671</v>
      </c>
      <c r="B92" s="224" t="s">
        <v>672</v>
      </c>
      <c r="C92" s="225">
        <v>7</v>
      </c>
      <c r="D92" s="225">
        <v>7</v>
      </c>
      <c r="E92" s="225">
        <v>3</v>
      </c>
      <c r="F92" s="225">
        <v>2</v>
      </c>
      <c r="G92" s="225">
        <v>3</v>
      </c>
    </row>
    <row r="93" spans="1:7" x14ac:dyDescent="0.25">
      <c r="A93" s="224" t="s">
        <v>673</v>
      </c>
      <c r="B93" s="224" t="s">
        <v>674</v>
      </c>
      <c r="C93" s="225">
        <v>75</v>
      </c>
      <c r="D93" s="225">
        <v>59</v>
      </c>
      <c r="E93" s="225">
        <v>47</v>
      </c>
      <c r="F93" s="225">
        <v>31</v>
      </c>
      <c r="G93" s="225">
        <v>27</v>
      </c>
    </row>
    <row r="94" spans="1:7" x14ac:dyDescent="0.25">
      <c r="A94" s="224" t="s">
        <v>675</v>
      </c>
      <c r="B94" s="224" t="s">
        <v>676</v>
      </c>
      <c r="C94" s="225">
        <v>31607</v>
      </c>
      <c r="D94" s="225">
        <v>28972</v>
      </c>
      <c r="E94" s="225">
        <v>29763</v>
      </c>
      <c r="F94" s="225">
        <v>31164</v>
      </c>
      <c r="G94" s="225">
        <v>31408</v>
      </c>
    </row>
    <row r="95" spans="1:7" x14ac:dyDescent="0.25">
      <c r="A95" s="224" t="s">
        <v>677</v>
      </c>
      <c r="B95" s="224" t="s">
        <v>678</v>
      </c>
      <c r="C95" s="235">
        <v>127.14</v>
      </c>
      <c r="D95" s="235">
        <v>112.1815</v>
      </c>
      <c r="E95" s="235">
        <v>108.3079</v>
      </c>
      <c r="F95" s="235">
        <v>118.1708</v>
      </c>
      <c r="G95" s="235">
        <v>91.635300000000001</v>
      </c>
    </row>
    <row r="96" spans="1:7" x14ac:dyDescent="0.25">
      <c r="A96" s="224" t="s">
        <v>679</v>
      </c>
      <c r="B96" s="224" t="s">
        <v>680</v>
      </c>
      <c r="C96" s="235">
        <v>-19.4406</v>
      </c>
      <c r="D96" s="235">
        <v>-16.1097</v>
      </c>
      <c r="E96" s="235">
        <v>-11.2934</v>
      </c>
      <c r="F96" s="235">
        <v>-9.5269999999999992</v>
      </c>
      <c r="G96" s="235">
        <v>5.4001999999999999</v>
      </c>
    </row>
    <row r="97" spans="1:7" x14ac:dyDescent="0.25">
      <c r="A97" s="224" t="s">
        <v>681</v>
      </c>
      <c r="B97" s="224" t="s">
        <v>682</v>
      </c>
      <c r="C97" s="235">
        <v>1.1301000000000001</v>
      </c>
      <c r="D97" s="235">
        <v>1.1454</v>
      </c>
      <c r="E97" s="235">
        <v>1.1341000000000001</v>
      </c>
      <c r="F97" s="235">
        <v>1.0296000000000001</v>
      </c>
      <c r="G97" s="235">
        <v>1.4588000000000001</v>
      </c>
    </row>
    <row r="98" spans="1:7" x14ac:dyDescent="0.25">
      <c r="A98" s="224" t="s">
        <v>683</v>
      </c>
      <c r="B98" s="224" t="s">
        <v>684</v>
      </c>
      <c r="C98" s="235">
        <v>15.2448</v>
      </c>
      <c r="D98" s="235">
        <v>11.1404</v>
      </c>
      <c r="E98" s="235">
        <v>6.5328999999999997</v>
      </c>
      <c r="F98" s="235">
        <v>9.9055</v>
      </c>
      <c r="G98" s="235">
        <v>3.8214000000000001</v>
      </c>
    </row>
    <row r="99" spans="1:7" x14ac:dyDescent="0.25">
      <c r="A99" s="224" t="s">
        <v>685</v>
      </c>
      <c r="B99" s="224" t="s">
        <v>686</v>
      </c>
      <c r="C99" s="225" t="s">
        <v>383</v>
      </c>
      <c r="D99" s="225" t="s">
        <v>383</v>
      </c>
      <c r="E99" s="225" t="s">
        <v>383</v>
      </c>
      <c r="F99" s="225" t="s">
        <v>383</v>
      </c>
      <c r="G99" s="225" t="s">
        <v>383</v>
      </c>
    </row>
    <row r="100" spans="1:7" x14ac:dyDescent="0.25">
      <c r="A100" s="224" t="s">
        <v>687</v>
      </c>
      <c r="B100" s="224" t="s">
        <v>688</v>
      </c>
      <c r="C100" s="235">
        <v>79000</v>
      </c>
      <c r="D100" s="235">
        <v>82500</v>
      </c>
      <c r="E100" s="235">
        <v>79100</v>
      </c>
      <c r="F100" s="235">
        <v>69700</v>
      </c>
      <c r="G100" s="235">
        <v>65900</v>
      </c>
    </row>
    <row r="101" spans="1:7" x14ac:dyDescent="0.25">
      <c r="A101" s="239" t="s">
        <v>355</v>
      </c>
      <c r="B101" s="239"/>
      <c r="C101" s="239"/>
      <c r="D101" s="239"/>
      <c r="E101" s="239"/>
      <c r="F101" s="239"/>
      <c r="G101" s="239"/>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4"/>
  <sheetViews>
    <sheetView topLeftCell="A46" zoomScaleNormal="100" workbookViewId="0">
      <selection activeCell="C41" sqref="C41"/>
    </sheetView>
  </sheetViews>
  <sheetFormatPr defaultColWidth="11.42578125" defaultRowHeight="15" x14ac:dyDescent="0.25"/>
  <cols>
    <col min="1" max="1" width="67.7109375" customWidth="1"/>
  </cols>
  <sheetData>
    <row r="1" spans="1:9" x14ac:dyDescent="0.25">
      <c r="A1" s="217"/>
      <c r="B1" s="217"/>
      <c r="C1" s="217"/>
      <c r="D1" s="217"/>
      <c r="E1" s="217"/>
      <c r="F1" s="217"/>
      <c r="G1" s="217"/>
      <c r="H1" s="217"/>
    </row>
    <row r="2" spans="1:9" ht="20.25" customHeight="1" x14ac:dyDescent="0.25">
      <c r="A2" s="218" t="s">
        <v>512</v>
      </c>
      <c r="B2" s="218"/>
      <c r="C2" s="218"/>
      <c r="D2" s="218"/>
      <c r="E2" s="218"/>
      <c r="F2" s="218"/>
      <c r="G2" s="218"/>
      <c r="H2" s="218"/>
    </row>
    <row r="3" spans="1:9" x14ac:dyDescent="0.25">
      <c r="A3" s="219"/>
      <c r="B3" s="219"/>
      <c r="C3" s="219"/>
      <c r="D3" s="219"/>
      <c r="E3" s="219"/>
      <c r="F3" s="219"/>
      <c r="G3" s="219"/>
      <c r="H3" s="219"/>
    </row>
    <row r="4" spans="1:9" x14ac:dyDescent="0.25">
      <c r="A4" s="220" t="s">
        <v>358</v>
      </c>
      <c r="B4" s="220"/>
      <c r="C4" s="221" t="s">
        <v>307</v>
      </c>
      <c r="D4" s="221" t="s">
        <v>308</v>
      </c>
      <c r="E4" s="221" t="s">
        <v>309</v>
      </c>
      <c r="F4" s="221" t="s">
        <v>310</v>
      </c>
      <c r="G4" s="221" t="s">
        <v>311</v>
      </c>
      <c r="H4" s="221" t="s">
        <v>400</v>
      </c>
    </row>
    <row r="5" spans="1:9" x14ac:dyDescent="0.25">
      <c r="A5" s="222" t="s">
        <v>315</v>
      </c>
      <c r="B5" s="222"/>
      <c r="C5" s="223" t="s">
        <v>318</v>
      </c>
      <c r="D5" s="223" t="s">
        <v>319</v>
      </c>
      <c r="E5" s="223" t="s">
        <v>320</v>
      </c>
      <c r="F5" s="223" t="s">
        <v>321</v>
      </c>
      <c r="G5" s="223" t="s">
        <v>322</v>
      </c>
      <c r="H5" s="223" t="s">
        <v>323</v>
      </c>
    </row>
    <row r="6" spans="1:9" x14ac:dyDescent="0.25">
      <c r="A6" s="224" t="s">
        <v>689</v>
      </c>
      <c r="B6" s="230"/>
      <c r="C6" s="230"/>
      <c r="D6" s="230"/>
      <c r="E6" s="230"/>
      <c r="F6" s="230"/>
      <c r="G6" s="230"/>
      <c r="H6" s="231"/>
    </row>
    <row r="7" spans="1:9" x14ac:dyDescent="0.25">
      <c r="A7" s="227" t="s">
        <v>690</v>
      </c>
      <c r="B7" s="227" t="s">
        <v>691</v>
      </c>
      <c r="C7" s="228">
        <v>9771</v>
      </c>
      <c r="D7" s="228">
        <v>9542</v>
      </c>
      <c r="E7" s="228">
        <v>10714</v>
      </c>
      <c r="F7" s="228">
        <v>10631</v>
      </c>
      <c r="G7" s="228">
        <v>13107</v>
      </c>
      <c r="H7" s="229">
        <v>13701</v>
      </c>
    </row>
    <row r="8" spans="1:9" x14ac:dyDescent="0.25">
      <c r="A8" s="227" t="s">
        <v>692</v>
      </c>
      <c r="B8" s="227" t="s">
        <v>693</v>
      </c>
      <c r="C8" s="228">
        <v>1452</v>
      </c>
      <c r="D8" s="228">
        <v>1260</v>
      </c>
      <c r="E8" s="228">
        <v>1128</v>
      </c>
      <c r="F8" s="228">
        <v>1075</v>
      </c>
      <c r="G8" s="228">
        <v>1050</v>
      </c>
      <c r="H8" s="229">
        <v>1047</v>
      </c>
    </row>
    <row r="9" spans="1:9" x14ac:dyDescent="0.25">
      <c r="A9" s="227" t="s">
        <v>694</v>
      </c>
      <c r="B9" s="227" t="s">
        <v>695</v>
      </c>
      <c r="C9" s="228">
        <v>77</v>
      </c>
      <c r="D9" s="228">
        <v>821</v>
      </c>
      <c r="E9" s="228">
        <v>603</v>
      </c>
      <c r="F9" s="228">
        <v>1333</v>
      </c>
      <c r="G9" s="228">
        <v>459</v>
      </c>
      <c r="H9" s="229">
        <v>833</v>
      </c>
    </row>
    <row r="10" spans="1:9" x14ac:dyDescent="0.25">
      <c r="A10" s="227" t="s">
        <v>696</v>
      </c>
      <c r="B10" s="227" t="s">
        <v>697</v>
      </c>
      <c r="C10" s="228">
        <v>337</v>
      </c>
      <c r="D10" s="228">
        <v>356</v>
      </c>
      <c r="E10" s="228">
        <v>254</v>
      </c>
      <c r="F10" s="228">
        <v>286</v>
      </c>
      <c r="G10" s="228">
        <v>279</v>
      </c>
      <c r="H10" s="229">
        <v>272</v>
      </c>
    </row>
    <row r="11" spans="1:9" x14ac:dyDescent="0.25">
      <c r="A11" s="227" t="s">
        <v>698</v>
      </c>
      <c r="B11" s="227" t="s">
        <v>699</v>
      </c>
      <c r="C11" s="228">
        <v>894</v>
      </c>
      <c r="D11" s="228">
        <v>-122</v>
      </c>
      <c r="E11" s="228">
        <v>-2</v>
      </c>
      <c r="F11" s="228">
        <v>-11</v>
      </c>
      <c r="G11" s="228">
        <v>517</v>
      </c>
      <c r="H11" s="229">
        <v>627</v>
      </c>
    </row>
    <row r="12" spans="1:9" x14ac:dyDescent="0.25">
      <c r="A12" s="227" t="s">
        <v>700</v>
      </c>
      <c r="B12" s="227" t="s">
        <v>701</v>
      </c>
      <c r="C12" s="228">
        <v>-1154</v>
      </c>
      <c r="D12" s="228">
        <v>587</v>
      </c>
      <c r="E12" s="228">
        <v>351</v>
      </c>
      <c r="F12" s="228">
        <v>1058</v>
      </c>
      <c r="G12" s="228">
        <v>-337</v>
      </c>
      <c r="H12" s="229">
        <v>-66</v>
      </c>
      <c r="I12" s="245"/>
    </row>
    <row r="13" spans="1:9" x14ac:dyDescent="0.25">
      <c r="A13" s="227" t="s">
        <v>702</v>
      </c>
      <c r="B13" s="227" t="s">
        <v>703</v>
      </c>
      <c r="C13" s="228">
        <v>1325</v>
      </c>
      <c r="D13" s="228">
        <v>-605</v>
      </c>
      <c r="E13" s="228">
        <v>-846</v>
      </c>
      <c r="F13" s="228">
        <v>-6234</v>
      </c>
      <c r="G13" s="228">
        <v>-7208</v>
      </c>
      <c r="H13" s="229">
        <v>-950</v>
      </c>
    </row>
    <row r="14" spans="1:9" x14ac:dyDescent="0.25">
      <c r="A14" s="227" t="s">
        <v>704</v>
      </c>
      <c r="B14" s="227" t="s">
        <v>705</v>
      </c>
      <c r="C14" s="228">
        <v>1325</v>
      </c>
      <c r="D14" s="228">
        <v>-605</v>
      </c>
      <c r="E14" s="228">
        <v>-846</v>
      </c>
      <c r="F14" s="228">
        <v>-6234</v>
      </c>
      <c r="G14" s="228">
        <v>-7208</v>
      </c>
      <c r="H14" s="229">
        <v>-950</v>
      </c>
    </row>
    <row r="15" spans="1:9" x14ac:dyDescent="0.25">
      <c r="A15" s="227" t="s">
        <v>706</v>
      </c>
      <c r="B15" s="227" t="s">
        <v>707</v>
      </c>
      <c r="C15" s="228">
        <v>0</v>
      </c>
      <c r="D15" s="228">
        <v>0</v>
      </c>
      <c r="E15" s="228">
        <v>0</v>
      </c>
      <c r="F15" s="228">
        <v>0</v>
      </c>
      <c r="G15" s="228">
        <v>0</v>
      </c>
      <c r="H15" s="229">
        <v>0</v>
      </c>
    </row>
    <row r="16" spans="1:9" x14ac:dyDescent="0.25">
      <c r="A16" s="224" t="s">
        <v>689</v>
      </c>
      <c r="B16" s="224" t="s">
        <v>350</v>
      </c>
      <c r="C16" s="225">
        <v>12625</v>
      </c>
      <c r="D16" s="225">
        <v>11018</v>
      </c>
      <c r="E16" s="225">
        <v>11599</v>
      </c>
      <c r="F16" s="225">
        <v>6805</v>
      </c>
      <c r="G16" s="225">
        <v>7408</v>
      </c>
      <c r="H16" s="226">
        <v>14631</v>
      </c>
    </row>
    <row r="17" spans="1:8" x14ac:dyDescent="0.25">
      <c r="A17" s="224"/>
      <c r="B17" s="230"/>
      <c r="C17" s="230"/>
      <c r="D17" s="230"/>
      <c r="E17" s="230"/>
      <c r="F17" s="230"/>
      <c r="G17" s="230"/>
      <c r="H17" s="231"/>
    </row>
    <row r="18" spans="1:8" x14ac:dyDescent="0.25">
      <c r="A18" s="224" t="s">
        <v>708</v>
      </c>
      <c r="B18" s="230"/>
      <c r="C18" s="230"/>
      <c r="D18" s="230"/>
      <c r="E18" s="230"/>
      <c r="F18" s="230"/>
      <c r="G18" s="230"/>
      <c r="H18" s="231"/>
    </row>
    <row r="19" spans="1:8" x14ac:dyDescent="0.25">
      <c r="A19" s="227" t="s">
        <v>709</v>
      </c>
      <c r="B19" s="227" t="s">
        <v>710</v>
      </c>
      <c r="C19" s="228">
        <v>-1259</v>
      </c>
      <c r="D19" s="228">
        <v>-1409</v>
      </c>
      <c r="E19" s="228">
        <v>-1778</v>
      </c>
      <c r="F19" s="228">
        <v>-2024</v>
      </c>
      <c r="G19" s="228">
        <v>-2099</v>
      </c>
      <c r="H19" s="229">
        <v>-2062</v>
      </c>
    </row>
    <row r="20" spans="1:8" x14ac:dyDescent="0.25">
      <c r="A20" s="227" t="s">
        <v>711</v>
      </c>
      <c r="B20" s="227" t="s">
        <v>712</v>
      </c>
      <c r="C20" s="228">
        <v>108</v>
      </c>
      <c r="D20" s="228">
        <v>75</v>
      </c>
      <c r="E20" s="228">
        <v>74</v>
      </c>
      <c r="F20" s="228">
        <v>40</v>
      </c>
      <c r="G20" s="228">
        <v>13</v>
      </c>
      <c r="H20" s="229">
        <v>15</v>
      </c>
    </row>
    <row r="21" spans="1:8" x14ac:dyDescent="0.25">
      <c r="A21" s="232" t="s">
        <v>713</v>
      </c>
      <c r="B21" s="232" t="s">
        <v>714</v>
      </c>
      <c r="C21" s="233">
        <v>108</v>
      </c>
      <c r="D21" s="233">
        <v>75</v>
      </c>
      <c r="E21" s="233">
        <v>74</v>
      </c>
      <c r="F21" s="233">
        <v>40</v>
      </c>
      <c r="G21" s="233">
        <v>13</v>
      </c>
      <c r="H21" s="234">
        <v>15</v>
      </c>
    </row>
    <row r="22" spans="1:8" x14ac:dyDescent="0.25">
      <c r="A22" s="232" t="s">
        <v>715</v>
      </c>
      <c r="B22" s="232" t="s">
        <v>716</v>
      </c>
      <c r="C22" s="233">
        <v>0</v>
      </c>
      <c r="D22" s="233">
        <v>0</v>
      </c>
      <c r="E22" s="233">
        <v>0</v>
      </c>
      <c r="F22" s="233">
        <v>0</v>
      </c>
      <c r="G22" s="233">
        <v>0</v>
      </c>
      <c r="H22" s="234">
        <v>0</v>
      </c>
    </row>
    <row r="23" spans="1:8" s="244" customFormat="1" x14ac:dyDescent="0.25">
      <c r="A23" s="242" t="s">
        <v>717</v>
      </c>
      <c r="B23" s="242" t="s">
        <v>718</v>
      </c>
      <c r="C23" s="243">
        <v>-1367</v>
      </c>
      <c r="D23" s="243">
        <v>-1484</v>
      </c>
      <c r="E23" s="243">
        <v>-1852</v>
      </c>
      <c r="F23" s="243">
        <v>-2064</v>
      </c>
      <c r="G23" s="243">
        <v>-2112</v>
      </c>
      <c r="H23" s="246">
        <v>-1187</v>
      </c>
    </row>
    <row r="24" spans="1:8" x14ac:dyDescent="0.25">
      <c r="A24" s="232" t="s">
        <v>719</v>
      </c>
      <c r="B24" s="232" t="s">
        <v>720</v>
      </c>
      <c r="C24" s="233">
        <v>-1367</v>
      </c>
      <c r="D24" s="233">
        <v>-1484</v>
      </c>
      <c r="E24" s="233">
        <v>-1852</v>
      </c>
      <c r="F24" s="233">
        <v>-2064</v>
      </c>
      <c r="G24" s="233">
        <v>-2112</v>
      </c>
      <c r="H24" s="234">
        <v>-1187</v>
      </c>
    </row>
    <row r="25" spans="1:8" x14ac:dyDescent="0.25">
      <c r="A25" s="232" t="s">
        <v>721</v>
      </c>
      <c r="B25" s="232" t="s">
        <v>722</v>
      </c>
      <c r="C25" s="233">
        <v>0</v>
      </c>
      <c r="D25" s="233">
        <v>0</v>
      </c>
      <c r="E25" s="233">
        <v>0</v>
      </c>
      <c r="F25" s="233">
        <v>0</v>
      </c>
      <c r="G25" s="233">
        <v>0</v>
      </c>
      <c r="H25" s="234">
        <v>0</v>
      </c>
    </row>
    <row r="26" spans="1:8" x14ac:dyDescent="0.25">
      <c r="A26" s="227" t="s">
        <v>723</v>
      </c>
      <c r="B26" s="227" t="s">
        <v>724</v>
      </c>
      <c r="C26" s="228">
        <v>0</v>
      </c>
      <c r="D26" s="228">
        <v>0</v>
      </c>
      <c r="E26" s="228">
        <v>0</v>
      </c>
      <c r="F26" s="228">
        <v>0</v>
      </c>
      <c r="G26" s="228">
        <v>0</v>
      </c>
      <c r="H26" s="229">
        <v>0</v>
      </c>
    </row>
    <row r="27" spans="1:8" x14ac:dyDescent="0.25">
      <c r="A27" s="227" t="s">
        <v>725</v>
      </c>
      <c r="B27" s="227" t="s">
        <v>726</v>
      </c>
      <c r="C27" s="228">
        <v>0</v>
      </c>
      <c r="D27" s="228">
        <v>0</v>
      </c>
      <c r="E27" s="228">
        <v>0</v>
      </c>
      <c r="F27" s="228">
        <v>0</v>
      </c>
      <c r="G27" s="228">
        <v>0</v>
      </c>
      <c r="H27" s="229">
        <v>0</v>
      </c>
    </row>
    <row r="28" spans="1:8" x14ac:dyDescent="0.25">
      <c r="A28" s="227" t="s">
        <v>727</v>
      </c>
      <c r="B28" s="227" t="s">
        <v>728</v>
      </c>
      <c r="C28" s="228">
        <v>0</v>
      </c>
      <c r="D28" s="228">
        <v>0</v>
      </c>
      <c r="E28" s="228">
        <v>0</v>
      </c>
      <c r="F28" s="228">
        <v>0</v>
      </c>
      <c r="G28" s="228">
        <v>0</v>
      </c>
      <c r="H28" s="229">
        <v>0</v>
      </c>
    </row>
    <row r="29" spans="1:8" x14ac:dyDescent="0.25">
      <c r="A29" s="227" t="s">
        <v>729</v>
      </c>
      <c r="B29" s="227" t="s">
        <v>730</v>
      </c>
      <c r="C29" s="228">
        <v>-2586</v>
      </c>
      <c r="D29" s="228">
        <v>385</v>
      </c>
      <c r="E29" s="228">
        <v>368</v>
      </c>
      <c r="F29" s="228">
        <v>3170</v>
      </c>
      <c r="G29" s="228">
        <v>3106</v>
      </c>
      <c r="H29" s="229">
        <v>2363</v>
      </c>
    </row>
    <row r="30" spans="1:8" x14ac:dyDescent="0.25">
      <c r="A30" s="227" t="s">
        <v>731</v>
      </c>
      <c r="B30" s="227" t="s">
        <v>732</v>
      </c>
      <c r="C30" s="228">
        <v>2180</v>
      </c>
      <c r="D30" s="228">
        <v>458</v>
      </c>
      <c r="E30" s="228">
        <v>430</v>
      </c>
      <c r="F30" s="228">
        <v>3485</v>
      </c>
      <c r="G30" s="228">
        <v>3567</v>
      </c>
      <c r="H30" s="229">
        <v>2819</v>
      </c>
    </row>
    <row r="31" spans="1:8" x14ac:dyDescent="0.25">
      <c r="A31" s="227" t="s">
        <v>733</v>
      </c>
      <c r="B31" s="227" t="s">
        <v>734</v>
      </c>
      <c r="C31" s="228">
        <v>-4766</v>
      </c>
      <c r="D31" s="228">
        <v>-73</v>
      </c>
      <c r="E31" s="228">
        <v>-62</v>
      </c>
      <c r="F31" s="228">
        <v>-315</v>
      </c>
      <c r="G31" s="228">
        <v>-461</v>
      </c>
      <c r="H31" s="229">
        <v>-456</v>
      </c>
    </row>
    <row r="32" spans="1:8" x14ac:dyDescent="0.25">
      <c r="A32" s="227" t="s">
        <v>735</v>
      </c>
      <c r="B32" s="227" t="s">
        <v>736</v>
      </c>
      <c r="C32" s="228">
        <v>0</v>
      </c>
      <c r="D32" s="228">
        <v>0</v>
      </c>
      <c r="E32" s="228">
        <v>0</v>
      </c>
      <c r="F32" s="228">
        <v>0</v>
      </c>
      <c r="G32" s="228">
        <v>0</v>
      </c>
      <c r="H32" s="229">
        <v>0</v>
      </c>
    </row>
    <row r="33" spans="1:8" x14ac:dyDescent="0.25">
      <c r="A33" s="227" t="s">
        <v>737</v>
      </c>
      <c r="B33" s="227" t="s">
        <v>738</v>
      </c>
      <c r="C33" s="228">
        <v>1080</v>
      </c>
      <c r="D33" s="228">
        <v>261</v>
      </c>
      <c r="E33" s="228">
        <v>-1939</v>
      </c>
      <c r="F33" s="228">
        <v>1378</v>
      </c>
      <c r="G33" s="228">
        <v>-1074</v>
      </c>
      <c r="H33" s="229">
        <v>2445</v>
      </c>
    </row>
    <row r="34" spans="1:8" x14ac:dyDescent="0.25">
      <c r="A34" s="227" t="s">
        <v>706</v>
      </c>
      <c r="B34" s="227" t="s">
        <v>739</v>
      </c>
      <c r="C34" s="228">
        <v>0</v>
      </c>
      <c r="D34" s="228">
        <v>0</v>
      </c>
      <c r="E34" s="228">
        <v>0</v>
      </c>
      <c r="F34" s="228">
        <v>0</v>
      </c>
      <c r="G34" s="228">
        <v>0</v>
      </c>
      <c r="H34" s="229">
        <v>0</v>
      </c>
    </row>
    <row r="35" spans="1:8" x14ac:dyDescent="0.25">
      <c r="A35" s="224" t="s">
        <v>708</v>
      </c>
      <c r="B35" s="224" t="s">
        <v>740</v>
      </c>
      <c r="C35" s="225">
        <v>-2765</v>
      </c>
      <c r="D35" s="225">
        <v>-763</v>
      </c>
      <c r="E35" s="225">
        <v>-3349</v>
      </c>
      <c r="F35" s="225">
        <v>2524</v>
      </c>
      <c r="G35" s="225">
        <v>-67</v>
      </c>
      <c r="H35" s="226">
        <v>2746</v>
      </c>
    </row>
    <row r="36" spans="1:8" x14ac:dyDescent="0.25">
      <c r="A36" s="224"/>
      <c r="B36" s="230"/>
      <c r="C36" s="230"/>
      <c r="D36" s="230"/>
      <c r="E36" s="230"/>
      <c r="F36" s="230"/>
      <c r="G36" s="230"/>
      <c r="H36" s="231"/>
    </row>
    <row r="37" spans="1:8" x14ac:dyDescent="0.25">
      <c r="A37" s="224" t="s">
        <v>741</v>
      </c>
      <c r="B37" s="230"/>
      <c r="C37" s="230"/>
      <c r="D37" s="230"/>
      <c r="E37" s="230"/>
      <c r="F37" s="230"/>
      <c r="G37" s="230"/>
      <c r="H37" s="231"/>
    </row>
    <row r="38" spans="1:8" s="244" customFormat="1" x14ac:dyDescent="0.25">
      <c r="A38" s="242" t="s">
        <v>742</v>
      </c>
      <c r="B38" s="242" t="s">
        <v>743</v>
      </c>
      <c r="C38" s="243">
        <v>-7252</v>
      </c>
      <c r="D38" s="243">
        <v>-7616</v>
      </c>
      <c r="E38" s="243">
        <v>-7952</v>
      </c>
      <c r="F38" s="243">
        <v>-8359</v>
      </c>
      <c r="G38" s="243">
        <v>-8779</v>
      </c>
      <c r="H38" s="246">
        <v>-10971</v>
      </c>
    </row>
    <row r="39" spans="1:8" x14ac:dyDescent="0.25">
      <c r="A39" s="227" t="s">
        <v>744</v>
      </c>
      <c r="B39" s="227" t="s">
        <v>745</v>
      </c>
      <c r="C39" s="228">
        <v>228</v>
      </c>
      <c r="D39" s="228">
        <v>-958</v>
      </c>
      <c r="E39" s="228">
        <v>1857</v>
      </c>
      <c r="F39" s="228">
        <v>2528</v>
      </c>
      <c r="G39" s="228">
        <v>13</v>
      </c>
      <c r="H39" s="229">
        <v>-5086</v>
      </c>
    </row>
    <row r="40" spans="1:8" s="244" customFormat="1" x14ac:dyDescent="0.25">
      <c r="A40" s="242" t="s">
        <v>746</v>
      </c>
      <c r="B40" s="242" t="s">
        <v>747</v>
      </c>
      <c r="C40" s="243">
        <v>591</v>
      </c>
      <c r="D40" s="243">
        <v>-581</v>
      </c>
      <c r="E40" s="243">
        <v>-1750</v>
      </c>
      <c r="F40" s="243">
        <v>-1048</v>
      </c>
      <c r="G40" s="243">
        <v>-433</v>
      </c>
      <c r="H40" s="246">
        <v>-544</v>
      </c>
    </row>
    <row r="41" spans="1:8" x14ac:dyDescent="0.25">
      <c r="A41" s="227" t="s">
        <v>748</v>
      </c>
      <c r="B41" s="227" t="s">
        <v>749</v>
      </c>
      <c r="C41" s="228">
        <v>702</v>
      </c>
      <c r="D41" s="228">
        <v>837</v>
      </c>
      <c r="E41" s="228">
        <v>539</v>
      </c>
      <c r="F41" s="228">
        <v>747</v>
      </c>
      <c r="G41" s="228">
        <v>313</v>
      </c>
      <c r="H41" s="229">
        <v>309</v>
      </c>
    </row>
    <row r="42" spans="1:8" x14ac:dyDescent="0.25">
      <c r="A42" s="227" t="s">
        <v>750</v>
      </c>
      <c r="B42" s="227" t="s">
        <v>751</v>
      </c>
      <c r="C42" s="228">
        <v>-111</v>
      </c>
      <c r="D42" s="228">
        <v>-1418</v>
      </c>
      <c r="E42" s="228">
        <v>-2289</v>
      </c>
      <c r="F42" s="228">
        <v>-1795</v>
      </c>
      <c r="G42" s="228">
        <v>-746</v>
      </c>
      <c r="H42" s="229">
        <v>-853</v>
      </c>
    </row>
    <row r="43" spans="1:8" x14ac:dyDescent="0.25">
      <c r="A43" s="227" t="s">
        <v>752</v>
      </c>
      <c r="B43" s="227" t="s">
        <v>753</v>
      </c>
      <c r="C43" s="228">
        <v>-353</v>
      </c>
      <c r="D43" s="228">
        <v>-1095</v>
      </c>
      <c r="E43" s="228">
        <v>-465</v>
      </c>
      <c r="F43" s="228">
        <v>-31</v>
      </c>
      <c r="G43" s="228">
        <v>1059</v>
      </c>
      <c r="H43" s="229">
        <v>1161</v>
      </c>
    </row>
    <row r="44" spans="1:8" x14ac:dyDescent="0.25">
      <c r="A44" s="227" t="s">
        <v>706</v>
      </c>
      <c r="B44" s="227" t="s">
        <v>754</v>
      </c>
      <c r="C44" s="228">
        <v>0</v>
      </c>
      <c r="D44" s="228">
        <v>0</v>
      </c>
      <c r="E44" s="228">
        <v>0</v>
      </c>
      <c r="F44" s="228">
        <v>0</v>
      </c>
      <c r="G44" s="228">
        <v>0</v>
      </c>
      <c r="H44" s="229">
        <v>0</v>
      </c>
    </row>
    <row r="45" spans="1:8" x14ac:dyDescent="0.25">
      <c r="A45" s="224" t="s">
        <v>741</v>
      </c>
      <c r="B45" s="224" t="s">
        <v>755</v>
      </c>
      <c r="C45" s="225">
        <v>-6786</v>
      </c>
      <c r="D45" s="225">
        <v>-10250</v>
      </c>
      <c r="E45" s="225">
        <v>-8310</v>
      </c>
      <c r="F45" s="225">
        <v>-6910</v>
      </c>
      <c r="G45" s="225">
        <v>-8140</v>
      </c>
      <c r="H45" s="226">
        <v>-15440</v>
      </c>
    </row>
    <row r="46" spans="1:8" x14ac:dyDescent="0.25">
      <c r="A46" s="224"/>
      <c r="B46" s="230"/>
      <c r="C46" s="230"/>
      <c r="D46" s="230"/>
      <c r="E46" s="230"/>
      <c r="F46" s="230"/>
      <c r="G46" s="230"/>
      <c r="H46" s="231"/>
    </row>
    <row r="47" spans="1:8" x14ac:dyDescent="0.25">
      <c r="A47" s="227" t="s">
        <v>756</v>
      </c>
      <c r="B47" s="227" t="s">
        <v>757</v>
      </c>
      <c r="C47" s="228">
        <v>-159</v>
      </c>
      <c r="D47" s="228">
        <v>-205</v>
      </c>
      <c r="E47" s="228">
        <v>-73</v>
      </c>
      <c r="F47" s="228">
        <v>-623</v>
      </c>
      <c r="G47" s="228">
        <v>321</v>
      </c>
      <c r="H47" s="229">
        <v>244</v>
      </c>
    </row>
    <row r="48" spans="1:8" x14ac:dyDescent="0.25">
      <c r="A48" s="224"/>
      <c r="B48" s="230"/>
      <c r="C48" s="230"/>
      <c r="D48" s="230"/>
      <c r="E48" s="230"/>
      <c r="F48" s="230"/>
      <c r="G48" s="230"/>
      <c r="H48" s="231"/>
    </row>
    <row r="49" spans="1:8" x14ac:dyDescent="0.25">
      <c r="A49" s="224" t="s">
        <v>758</v>
      </c>
      <c r="B49" s="224" t="s">
        <v>759</v>
      </c>
      <c r="C49" s="225">
        <v>2915</v>
      </c>
      <c r="D49" s="225">
        <v>-200</v>
      </c>
      <c r="E49" s="225">
        <v>-133</v>
      </c>
      <c r="F49" s="225">
        <v>1796</v>
      </c>
      <c r="G49" s="225">
        <v>-478</v>
      </c>
      <c r="H49" s="226">
        <v>2181</v>
      </c>
    </row>
    <row r="50" spans="1:8" x14ac:dyDescent="0.25">
      <c r="A50" s="224"/>
      <c r="B50" s="230"/>
      <c r="C50" s="230"/>
      <c r="D50" s="230"/>
      <c r="E50" s="230"/>
      <c r="F50" s="230"/>
      <c r="G50" s="230"/>
      <c r="H50" s="231"/>
    </row>
    <row r="51" spans="1:8" x14ac:dyDescent="0.25">
      <c r="A51" s="224" t="s">
        <v>760</v>
      </c>
      <c r="B51" s="224" t="s">
        <v>761</v>
      </c>
      <c r="C51" s="225">
        <v>2168</v>
      </c>
      <c r="D51" s="225">
        <v>2403</v>
      </c>
      <c r="E51" s="225">
        <v>2580</v>
      </c>
      <c r="F51" s="225">
        <v>3262</v>
      </c>
      <c r="G51" s="225">
        <v>2873</v>
      </c>
      <c r="H51" s="226"/>
    </row>
    <row r="52" spans="1:8" x14ac:dyDescent="0.25">
      <c r="A52" s="224" t="s">
        <v>762</v>
      </c>
      <c r="B52" s="224" t="s">
        <v>763</v>
      </c>
      <c r="C52" s="225">
        <v>738</v>
      </c>
      <c r="D52" s="225">
        <v>848</v>
      </c>
      <c r="E52" s="225">
        <v>1415</v>
      </c>
      <c r="F52" s="225">
        <v>1669</v>
      </c>
      <c r="G52" s="225">
        <v>1724</v>
      </c>
      <c r="H52" s="226"/>
    </row>
    <row r="53" spans="1:8" x14ac:dyDescent="0.25">
      <c r="A53" s="224"/>
      <c r="B53" s="230"/>
      <c r="C53" s="230"/>
      <c r="D53" s="230"/>
      <c r="E53" s="230"/>
      <c r="F53" s="230"/>
      <c r="G53" s="230"/>
      <c r="H53" s="231"/>
    </row>
    <row r="54" spans="1:8" x14ac:dyDescent="0.25">
      <c r="A54" s="224" t="s">
        <v>494</v>
      </c>
      <c r="B54" s="230"/>
      <c r="C54" s="230"/>
      <c r="D54" s="230"/>
      <c r="E54" s="230"/>
      <c r="F54" s="230"/>
      <c r="G54" s="230"/>
      <c r="H54" s="231"/>
    </row>
    <row r="55" spans="1:8" x14ac:dyDescent="0.25">
      <c r="A55" s="224" t="s">
        <v>152</v>
      </c>
      <c r="B55" s="224" t="s">
        <v>152</v>
      </c>
      <c r="C55" s="225">
        <v>12102</v>
      </c>
      <c r="D55" s="225">
        <v>12566</v>
      </c>
      <c r="E55" s="225">
        <v>12836</v>
      </c>
      <c r="F55" s="225">
        <v>11429</v>
      </c>
      <c r="G55" s="225">
        <v>15217</v>
      </c>
      <c r="H55" s="226">
        <v>15509</v>
      </c>
    </row>
    <row r="56" spans="1:8" x14ac:dyDescent="0.25">
      <c r="A56" s="224" t="s">
        <v>764</v>
      </c>
      <c r="B56" s="224" t="s">
        <v>499</v>
      </c>
      <c r="C56" s="235">
        <v>31.307700000000001</v>
      </c>
      <c r="D56" s="235">
        <v>29.220500000000001</v>
      </c>
      <c r="E56" s="235">
        <v>28.054400000000001</v>
      </c>
      <c r="F56" s="235">
        <v>24.285499999999999</v>
      </c>
      <c r="G56" s="235">
        <v>31.741099999999999</v>
      </c>
      <c r="H56" s="236">
        <v>31.4686307929551</v>
      </c>
    </row>
    <row r="57" spans="1:8" x14ac:dyDescent="0.25">
      <c r="A57" s="224" t="s">
        <v>765</v>
      </c>
      <c r="B57" s="224" t="s">
        <v>766</v>
      </c>
      <c r="C57" s="225">
        <v>4766</v>
      </c>
      <c r="D57" s="225">
        <v>73</v>
      </c>
      <c r="E57" s="225">
        <v>62</v>
      </c>
      <c r="F57" s="225">
        <v>315</v>
      </c>
      <c r="G57" s="225">
        <v>461</v>
      </c>
      <c r="H57" s="226">
        <v>456</v>
      </c>
    </row>
    <row r="58" spans="1:8" x14ac:dyDescent="0.25">
      <c r="A58" s="224" t="s">
        <v>353</v>
      </c>
      <c r="B58" s="224" t="s">
        <v>354</v>
      </c>
      <c r="C58" s="225">
        <v>11258</v>
      </c>
      <c r="D58" s="225">
        <v>9534</v>
      </c>
      <c r="E58" s="225">
        <v>9747</v>
      </c>
      <c r="F58" s="225">
        <v>4741</v>
      </c>
      <c r="G58" s="225">
        <v>5296</v>
      </c>
      <c r="H58" s="226">
        <v>12554</v>
      </c>
    </row>
    <row r="59" spans="1:8" x14ac:dyDescent="0.25">
      <c r="A59" s="224" t="s">
        <v>767</v>
      </c>
      <c r="B59" s="224" t="s">
        <v>768</v>
      </c>
      <c r="C59" s="225">
        <v>12518.1198</v>
      </c>
      <c r="D59" s="225">
        <v>10256.370500000001</v>
      </c>
      <c r="E59" s="225">
        <v>11008.85</v>
      </c>
      <c r="F59" s="225">
        <v>6088.6039000000001</v>
      </c>
      <c r="G59" s="225">
        <v>6654.2071999999998</v>
      </c>
      <c r="H59" s="226">
        <v>13910.671645034799</v>
      </c>
    </row>
    <row r="60" spans="1:8" x14ac:dyDescent="0.25">
      <c r="A60" s="224" t="s">
        <v>769</v>
      </c>
      <c r="B60" s="224" t="s">
        <v>770</v>
      </c>
      <c r="C60" s="225">
        <v>11594</v>
      </c>
      <c r="D60" s="225">
        <v>8651</v>
      </c>
      <c r="E60" s="225">
        <v>11678</v>
      </c>
      <c r="F60" s="225">
        <v>7309</v>
      </c>
      <c r="G60" s="225">
        <v>5322</v>
      </c>
      <c r="H60" s="226">
        <v>7483</v>
      </c>
    </row>
    <row r="61" spans="1:8" x14ac:dyDescent="0.25">
      <c r="A61" s="224" t="s">
        <v>771</v>
      </c>
      <c r="B61" s="224" t="s">
        <v>772</v>
      </c>
      <c r="C61" s="235">
        <v>2.609</v>
      </c>
      <c r="D61" s="235">
        <v>2.2029000000000001</v>
      </c>
      <c r="E61" s="235">
        <v>2.2547000000000001</v>
      </c>
      <c r="F61" s="235">
        <v>1.1003000000000001</v>
      </c>
      <c r="G61" s="235">
        <v>1.2307999999999999</v>
      </c>
      <c r="H61" s="236">
        <v>2.9175671371913499</v>
      </c>
    </row>
    <row r="62" spans="1:8" x14ac:dyDescent="0.25">
      <c r="A62" s="224" t="s">
        <v>773</v>
      </c>
      <c r="B62" s="224" t="s">
        <v>774</v>
      </c>
      <c r="C62" s="235">
        <v>22.694199999999999</v>
      </c>
      <c r="D62" s="235">
        <v>28.876000000000001</v>
      </c>
      <c r="E62" s="235">
        <v>26.136700000000001</v>
      </c>
      <c r="F62" s="235">
        <v>56.5869</v>
      </c>
      <c r="G62" s="235">
        <v>56.801900000000003</v>
      </c>
      <c r="H62" s="236">
        <v>26.330156627955599</v>
      </c>
    </row>
    <row r="63" spans="1:8" x14ac:dyDescent="0.25">
      <c r="A63" s="224" t="s">
        <v>775</v>
      </c>
      <c r="B63" s="224" t="s">
        <v>776</v>
      </c>
      <c r="C63" s="235">
        <v>1.2921</v>
      </c>
      <c r="D63" s="235">
        <v>1.1547000000000001</v>
      </c>
      <c r="E63" s="235">
        <v>1.0826</v>
      </c>
      <c r="F63" s="235">
        <v>0.6401</v>
      </c>
      <c r="G63" s="235">
        <v>0.56520000000000004</v>
      </c>
      <c r="H63" s="236">
        <v>0.51503567787971505</v>
      </c>
    </row>
    <row r="64" spans="1:8" x14ac:dyDescent="0.25">
      <c r="A64" s="239" t="s">
        <v>355</v>
      </c>
      <c r="B64" s="239"/>
      <c r="C64" s="239"/>
      <c r="D64" s="239"/>
      <c r="E64" s="239"/>
      <c r="F64" s="239"/>
      <c r="G64" s="239"/>
      <c r="H64" s="239"/>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37"/>
  <sheetViews>
    <sheetView zoomScaleNormal="100" workbookViewId="0">
      <selection activeCell="D184" sqref="D184"/>
    </sheetView>
  </sheetViews>
  <sheetFormatPr defaultColWidth="11.42578125" defaultRowHeight="15" x14ac:dyDescent="0.25"/>
  <cols>
    <col min="1" max="1" width="57.5703125" customWidth="1"/>
    <col min="2" max="2" width="3.5703125" customWidth="1"/>
    <col min="3" max="3" width="4.42578125" customWidth="1"/>
  </cols>
  <sheetData>
    <row r="1" spans="1:13" ht="20.25" customHeight="1" x14ac:dyDescent="0.25">
      <c r="A1" s="218" t="s">
        <v>777</v>
      </c>
      <c r="B1" s="218"/>
      <c r="C1" s="218"/>
      <c r="D1" s="218"/>
      <c r="E1" s="218"/>
      <c r="F1" s="218"/>
      <c r="G1" s="218"/>
      <c r="H1" s="218"/>
      <c r="I1" s="218"/>
      <c r="J1" s="218"/>
      <c r="K1" s="218"/>
      <c r="L1" s="218"/>
      <c r="M1" s="218"/>
    </row>
    <row r="2" spans="1:13" x14ac:dyDescent="0.25">
      <c r="A2" s="247" t="s">
        <v>778</v>
      </c>
      <c r="B2" s="247"/>
      <c r="C2" s="247"/>
      <c r="D2" s="247"/>
      <c r="E2" s="247"/>
      <c r="F2" s="247"/>
      <c r="G2" s="247"/>
      <c r="H2" s="247"/>
      <c r="I2" s="247"/>
      <c r="J2" s="247"/>
      <c r="K2" s="247"/>
      <c r="L2" s="247"/>
    </row>
    <row r="3" spans="1:13" x14ac:dyDescent="0.25">
      <c r="A3" s="220" t="s">
        <v>304</v>
      </c>
      <c r="B3" s="220"/>
      <c r="C3" s="220"/>
      <c r="D3" s="220" t="s">
        <v>779</v>
      </c>
      <c r="E3" s="220" t="s">
        <v>780</v>
      </c>
      <c r="F3" s="220" t="s">
        <v>781</v>
      </c>
      <c r="G3" s="220" t="s">
        <v>782</v>
      </c>
      <c r="H3" s="220" t="s">
        <v>783</v>
      </c>
      <c r="I3" s="220" t="s">
        <v>784</v>
      </c>
      <c r="J3" s="220" t="s">
        <v>785</v>
      </c>
      <c r="K3" s="220" t="s">
        <v>786</v>
      </c>
      <c r="L3" s="220" t="s">
        <v>787</v>
      </c>
      <c r="M3" s="220" t="s">
        <v>788</v>
      </c>
    </row>
    <row r="4" spans="1:13" x14ac:dyDescent="0.25">
      <c r="A4" s="222" t="s">
        <v>789</v>
      </c>
      <c r="B4" s="222" t="s">
        <v>790</v>
      </c>
      <c r="C4" s="222" t="s">
        <v>791</v>
      </c>
      <c r="D4" s="248">
        <v>46387</v>
      </c>
      <c r="E4" s="248">
        <v>46752</v>
      </c>
      <c r="F4" s="248">
        <v>47118</v>
      </c>
      <c r="G4" s="248">
        <v>47483</v>
      </c>
      <c r="H4" s="248">
        <v>47848</v>
      </c>
      <c r="I4" s="248">
        <v>48213</v>
      </c>
      <c r="J4" s="248">
        <v>48579</v>
      </c>
      <c r="K4" s="248">
        <v>48944</v>
      </c>
      <c r="L4" s="248">
        <v>49309</v>
      </c>
      <c r="M4" s="248">
        <v>49674</v>
      </c>
    </row>
    <row r="5" spans="1:13" x14ac:dyDescent="0.25">
      <c r="A5" s="227" t="s">
        <v>792</v>
      </c>
      <c r="B5" s="249"/>
      <c r="C5" s="249"/>
      <c r="D5" s="240"/>
      <c r="E5" s="240"/>
      <c r="F5" s="240"/>
      <c r="G5" s="240"/>
      <c r="H5" s="240"/>
      <c r="I5" s="240"/>
      <c r="J5" s="240"/>
      <c r="K5" s="240"/>
      <c r="L5" s="240"/>
      <c r="M5" s="240"/>
    </row>
    <row r="6" spans="1:13" x14ac:dyDescent="0.25">
      <c r="A6" s="227" t="s">
        <v>793</v>
      </c>
      <c r="B6" s="249" t="s">
        <v>794</v>
      </c>
      <c r="C6" s="249" t="s">
        <v>795</v>
      </c>
      <c r="D6" s="240">
        <v>3.2695652173913099</v>
      </c>
      <c r="E6" s="240">
        <v>3.4795652173913099</v>
      </c>
      <c r="F6" s="240">
        <v>3.7037499999999999</v>
      </c>
      <c r="G6" s="240">
        <v>3.9525000000000001</v>
      </c>
      <c r="H6" s="240">
        <v>4.22</v>
      </c>
      <c r="I6" s="240">
        <v>4.5466666666666704</v>
      </c>
      <c r="J6" s="240">
        <v>4.8433333333333302</v>
      </c>
      <c r="K6" s="240">
        <v>5.1566666666666698</v>
      </c>
      <c r="L6" s="240">
        <v>5.55</v>
      </c>
      <c r="M6" s="240">
        <v>5.9349999999999996</v>
      </c>
    </row>
    <row r="7" spans="1:13" x14ac:dyDescent="0.25">
      <c r="A7" s="227" t="s">
        <v>796</v>
      </c>
      <c r="B7" s="249" t="s">
        <v>797</v>
      </c>
      <c r="C7" s="249" t="s">
        <v>798</v>
      </c>
      <c r="D7" s="240">
        <v>49085.5</v>
      </c>
      <c r="E7" s="240">
        <v>49992.636363636397</v>
      </c>
      <c r="F7" s="240">
        <v>52572</v>
      </c>
      <c r="G7" s="240">
        <v>55061</v>
      </c>
      <c r="H7" s="240">
        <v>57724.25</v>
      </c>
      <c r="I7" s="240">
        <v>60486.5</v>
      </c>
      <c r="J7" s="240">
        <v>63401</v>
      </c>
      <c r="K7" s="240">
        <v>66377.25</v>
      </c>
      <c r="L7" s="240">
        <v>69878.666666666701</v>
      </c>
      <c r="M7" s="240">
        <v>73289.666666666701</v>
      </c>
    </row>
    <row r="8" spans="1:13" x14ac:dyDescent="0.25">
      <c r="A8" s="227" t="s">
        <v>799</v>
      </c>
      <c r="B8" s="249" t="s">
        <v>337</v>
      </c>
      <c r="C8" s="249" t="s">
        <v>800</v>
      </c>
      <c r="D8" s="240">
        <v>49028.2134249804</v>
      </c>
      <c r="E8" s="240">
        <v>49942.983010370801</v>
      </c>
      <c r="F8" s="240">
        <v>52682.796096288199</v>
      </c>
      <c r="G8" s="240">
        <v>56304.1728010222</v>
      </c>
      <c r="H8" s="240">
        <v>59176.0643242488</v>
      </c>
      <c r="I8" s="240">
        <v>62571.751580235497</v>
      </c>
      <c r="J8" s="240">
        <v>65872.024526334193</v>
      </c>
      <c r="K8" s="240">
        <v>69350.256308915894</v>
      </c>
      <c r="L8" s="240">
        <v>73016.283466883702</v>
      </c>
      <c r="M8" s="240">
        <v>76880.501016411799</v>
      </c>
    </row>
    <row r="9" spans="1:13" x14ac:dyDescent="0.25">
      <c r="A9" s="227" t="s">
        <v>801</v>
      </c>
      <c r="B9" s="249"/>
      <c r="C9" s="249"/>
      <c r="D9" s="240"/>
      <c r="E9" s="240"/>
      <c r="F9" s="240"/>
      <c r="G9" s="240"/>
      <c r="H9" s="240"/>
      <c r="I9" s="240"/>
      <c r="J9" s="240"/>
      <c r="K9" s="240"/>
      <c r="L9" s="240"/>
      <c r="M9" s="240"/>
    </row>
    <row r="10" spans="1:13" x14ac:dyDescent="0.25">
      <c r="A10" s="227" t="s">
        <v>802</v>
      </c>
      <c r="B10" s="249" t="s">
        <v>803</v>
      </c>
      <c r="C10" s="249" t="s">
        <v>804</v>
      </c>
      <c r="D10" s="240">
        <v>4.7258264184528702</v>
      </c>
      <c r="E10" s="240">
        <v>4.6633719491632499</v>
      </c>
      <c r="F10" s="240">
        <v>4.6689495413654596</v>
      </c>
      <c r="G10" s="240">
        <v>4.2408924812572497</v>
      </c>
      <c r="H10" s="240">
        <v>4.4995557392584997</v>
      </c>
      <c r="I10" s="240">
        <v>4.5092980871093502</v>
      </c>
      <c r="J10" s="240">
        <v>4.8022752275110303</v>
      </c>
      <c r="K10" s="240">
        <v>4.2819890293974501</v>
      </c>
      <c r="L10" s="240">
        <v>4.5408700358281404</v>
      </c>
      <c r="M10" s="240">
        <v>4.55102350335126</v>
      </c>
    </row>
    <row r="11" spans="1:13" x14ac:dyDescent="0.25">
      <c r="A11" s="227" t="s">
        <v>805</v>
      </c>
      <c r="B11" s="249" t="s">
        <v>806</v>
      </c>
      <c r="C11" s="249" t="s">
        <v>807</v>
      </c>
      <c r="D11" s="240">
        <v>2.48640201015249</v>
      </c>
      <c r="E11" s="240">
        <v>2.7216901425670299</v>
      </c>
      <c r="F11" s="240">
        <v>2.6476572850511699</v>
      </c>
      <c r="G11" s="240">
        <v>2.6090837669477001</v>
      </c>
      <c r="H11" s="240">
        <v>2.5915584485705399</v>
      </c>
      <c r="I11" s="240">
        <v>2.5917736091491399</v>
      </c>
      <c r="J11" s="240">
        <v>2.50469252517644</v>
      </c>
      <c r="K11" s="240">
        <v>2.6103248487740802</v>
      </c>
      <c r="L11" s="240">
        <v>2.5927149508310698</v>
      </c>
      <c r="M11" s="240">
        <v>2.5931228772693302</v>
      </c>
    </row>
    <row r="12" spans="1:13" x14ac:dyDescent="0.25">
      <c r="A12" s="227" t="s">
        <v>808</v>
      </c>
      <c r="B12" s="249" t="s">
        <v>809</v>
      </c>
      <c r="C12" s="249" t="s">
        <v>810</v>
      </c>
      <c r="D12" s="240">
        <v>2.2991337002023098</v>
      </c>
      <c r="E12" s="240">
        <v>1.8760071816813799</v>
      </c>
      <c r="F12" s="240">
        <v>2.0212922563142999</v>
      </c>
      <c r="G12" s="240">
        <v>1.6318087143095501</v>
      </c>
      <c r="H12" s="240">
        <v>1.9079972906879601</v>
      </c>
      <c r="I12" s="240">
        <v>1.9175244779602101</v>
      </c>
      <c r="J12" s="240">
        <v>2.2975827023345898</v>
      </c>
      <c r="K12" s="240">
        <v>1.6716641806233701</v>
      </c>
      <c r="L12" s="240">
        <v>1.9481550849970599</v>
      </c>
      <c r="M12" s="240">
        <v>1.9579006260819201</v>
      </c>
    </row>
    <row r="13" spans="1:13" x14ac:dyDescent="0.25">
      <c r="A13" s="227" t="s">
        <v>811</v>
      </c>
      <c r="B13" s="249" t="s">
        <v>812</v>
      </c>
      <c r="C13" s="249" t="s">
        <v>813</v>
      </c>
      <c r="D13" s="240">
        <v>2.2186818047355601</v>
      </c>
      <c r="E13" s="240">
        <v>1.9003567334848599</v>
      </c>
      <c r="F13" s="240">
        <v>1.87796939392749</v>
      </c>
      <c r="G13" s="240">
        <v>1.9139446340447701</v>
      </c>
      <c r="H13" s="240">
        <v>1.92393020801003</v>
      </c>
      <c r="I13" s="240">
        <v>1.9339760945731099</v>
      </c>
      <c r="J13" s="240">
        <v>1.9440811063338601</v>
      </c>
      <c r="K13" s="240">
        <v>1.9542440168698301</v>
      </c>
      <c r="L13" s="240">
        <v>1.9644635611033101</v>
      </c>
      <c r="M13" s="240">
        <v>1.9747384357189599</v>
      </c>
    </row>
    <row r="14" spans="1:13" x14ac:dyDescent="0.25">
      <c r="A14" s="227" t="s">
        <v>814</v>
      </c>
      <c r="B14" s="249" t="s">
        <v>815</v>
      </c>
      <c r="C14" s="249" t="s">
        <v>816</v>
      </c>
      <c r="D14" s="240">
        <v>1.4544124326769099</v>
      </c>
      <c r="E14" s="240">
        <v>5.8872842910162697E-2</v>
      </c>
      <c r="F14" s="240">
        <v>0</v>
      </c>
      <c r="G14" s="240"/>
      <c r="H14" s="240"/>
      <c r="I14" s="240"/>
      <c r="J14" s="240"/>
      <c r="K14" s="240"/>
      <c r="L14" s="240"/>
      <c r="M14" s="240"/>
    </row>
    <row r="15" spans="1:13" x14ac:dyDescent="0.25">
      <c r="A15" s="227" t="s">
        <v>817</v>
      </c>
      <c r="B15" s="249" t="s">
        <v>818</v>
      </c>
      <c r="C15" s="249" t="s">
        <v>819</v>
      </c>
      <c r="D15" s="240">
        <v>-4.2056104509087904</v>
      </c>
      <c r="E15" s="240">
        <v>-3.3554203465257602</v>
      </c>
      <c r="F15" s="240">
        <v>0</v>
      </c>
      <c r="G15" s="240"/>
      <c r="H15" s="240"/>
      <c r="I15" s="240"/>
      <c r="J15" s="240"/>
      <c r="K15" s="240"/>
      <c r="L15" s="240"/>
      <c r="M15" s="240"/>
    </row>
    <row r="16" spans="1:13" x14ac:dyDescent="0.25">
      <c r="A16" s="227" t="s">
        <v>801</v>
      </c>
      <c r="B16" s="249"/>
      <c r="C16" s="249"/>
      <c r="D16" s="240"/>
      <c r="E16" s="240"/>
      <c r="F16" s="240"/>
      <c r="G16" s="240"/>
      <c r="H16" s="240"/>
      <c r="I16" s="240"/>
      <c r="J16" s="240"/>
      <c r="K16" s="240"/>
      <c r="L16" s="240"/>
      <c r="M16" s="240"/>
    </row>
    <row r="17" spans="1:13" x14ac:dyDescent="0.25">
      <c r="A17" s="227" t="s">
        <v>820</v>
      </c>
      <c r="B17" s="249"/>
      <c r="C17" s="249"/>
      <c r="D17" s="240"/>
      <c r="E17" s="240"/>
      <c r="F17" s="240"/>
      <c r="G17" s="240"/>
      <c r="H17" s="240"/>
      <c r="I17" s="240"/>
      <c r="J17" s="240"/>
      <c r="K17" s="240"/>
      <c r="L17" s="240"/>
      <c r="M17" s="240"/>
    </row>
    <row r="18" spans="1:13" x14ac:dyDescent="0.25">
      <c r="A18" s="227" t="s">
        <v>821</v>
      </c>
      <c r="B18" s="249" t="s">
        <v>822</v>
      </c>
      <c r="C18" s="249" t="s">
        <v>823</v>
      </c>
      <c r="D18" s="240">
        <v>4547.8244850087603</v>
      </c>
      <c r="E18" s="240">
        <v>2991.2171975506499</v>
      </c>
      <c r="F18" s="240">
        <v>3407.1848235778398</v>
      </c>
      <c r="G18" s="240">
        <v>3480.9578100799999</v>
      </c>
      <c r="H18" s="240">
        <v>3665.6084835843999</v>
      </c>
      <c r="I18" s="240">
        <v>3860.0748438290402</v>
      </c>
      <c r="J18" s="240">
        <v>4064.87974856951</v>
      </c>
      <c r="K18" s="240">
        <v>4280.5739624872103</v>
      </c>
      <c r="L18" s="240">
        <v>4507.73764955769</v>
      </c>
      <c r="M18" s="240">
        <v>4746.98194537374</v>
      </c>
    </row>
    <row r="19" spans="1:13" x14ac:dyDescent="0.25">
      <c r="A19" s="227" t="s">
        <v>824</v>
      </c>
      <c r="B19" s="249" t="s">
        <v>822</v>
      </c>
      <c r="C19" s="249" t="s">
        <v>823</v>
      </c>
      <c r="D19" s="240">
        <v>150.08836247400501</v>
      </c>
      <c r="E19" s="240">
        <v>154.79571147469801</v>
      </c>
      <c r="F19" s="240">
        <v>156.190834875934</v>
      </c>
      <c r="G19" s="240">
        <v>171.33711456104101</v>
      </c>
      <c r="H19" s="240">
        <v>179.27498561341201</v>
      </c>
      <c r="I19" s="240">
        <v>187.59267541969501</v>
      </c>
      <c r="J19" s="240">
        <v>196.30905173077301</v>
      </c>
      <c r="K19" s="240">
        <v>205.44395947832299</v>
      </c>
      <c r="L19" s="240">
        <v>215.01827366460699</v>
      </c>
      <c r="M19" s="240">
        <v>225.05395524353099</v>
      </c>
    </row>
    <row r="20" spans="1:13" x14ac:dyDescent="0.25">
      <c r="A20" s="227" t="s">
        <v>825</v>
      </c>
      <c r="B20" s="249" t="s">
        <v>337</v>
      </c>
      <c r="C20" s="249" t="s">
        <v>800</v>
      </c>
      <c r="D20" s="240">
        <v>-980.75922237434702</v>
      </c>
      <c r="E20" s="240">
        <v>-878.78020598919295</v>
      </c>
      <c r="F20" s="240">
        <v>-967.71507362438695</v>
      </c>
      <c r="G20" s="240">
        <v>-780.26778968412702</v>
      </c>
      <c r="H20" s="240">
        <v>-820.79511555966894</v>
      </c>
      <c r="I20" s="240">
        <v>-863.46361112656098</v>
      </c>
      <c r="J20" s="240">
        <v>-908.38868318377604</v>
      </c>
      <c r="K20" s="240">
        <v>-955.69210261097498</v>
      </c>
      <c r="L20" s="240">
        <v>-1005.50236429787</v>
      </c>
      <c r="M20" s="240">
        <v>-1057.9550679840299</v>
      </c>
    </row>
    <row r="21" spans="1:13" x14ac:dyDescent="0.25">
      <c r="A21" s="227" t="s">
        <v>826</v>
      </c>
      <c r="B21" s="249"/>
      <c r="C21" s="249"/>
      <c r="D21" s="240"/>
      <c r="E21" s="240"/>
      <c r="F21" s="240"/>
      <c r="G21" s="240"/>
      <c r="H21" s="240"/>
      <c r="I21" s="240"/>
      <c r="J21" s="240"/>
      <c r="K21" s="240"/>
      <c r="L21" s="240"/>
      <c r="M21" s="240"/>
    </row>
    <row r="22" spans="1:13" x14ac:dyDescent="0.25">
      <c r="A22" s="227" t="s">
        <v>827</v>
      </c>
      <c r="B22" s="249" t="s">
        <v>822</v>
      </c>
      <c r="C22" s="249" t="s">
        <v>823</v>
      </c>
      <c r="D22" s="240">
        <v>12228.3101587736</v>
      </c>
      <c r="E22" s="240">
        <v>12807.234018794101</v>
      </c>
      <c r="F22" s="240">
        <v>13275.8263680771</v>
      </c>
      <c r="G22" s="240">
        <v>13870.206435707199</v>
      </c>
      <c r="H22" s="240">
        <v>14458.3529934662</v>
      </c>
      <c r="I22" s="240">
        <v>15071.5163206663</v>
      </c>
      <c r="J22" s="240">
        <v>15738.9577239957</v>
      </c>
      <c r="K22" s="240">
        <v>16386.003087208501</v>
      </c>
      <c r="L22" s="240">
        <v>17081.262190053101</v>
      </c>
      <c r="M22" s="240">
        <v>17806.112476936301</v>
      </c>
    </row>
    <row r="23" spans="1:13" x14ac:dyDescent="0.25">
      <c r="A23" s="227" t="s">
        <v>828</v>
      </c>
      <c r="B23" s="249" t="s">
        <v>337</v>
      </c>
      <c r="C23" s="249" t="s">
        <v>800</v>
      </c>
      <c r="D23" s="240">
        <v>6858.3899567435601</v>
      </c>
      <c r="E23" s="240">
        <v>7327.7212815559196</v>
      </c>
      <c r="F23" s="240">
        <v>7814.0492724099904</v>
      </c>
      <c r="G23" s="240">
        <v>8301.7422105297792</v>
      </c>
      <c r="H23" s="240">
        <v>8862.3367588472993</v>
      </c>
      <c r="I23" s="240">
        <v>9460.8197288505507</v>
      </c>
      <c r="J23" s="240">
        <v>10108.8958407359</v>
      </c>
      <c r="K23" s="240">
        <v>10778.3297492563</v>
      </c>
      <c r="L23" s="240">
        <v>11506.4485882932</v>
      </c>
      <c r="M23" s="240">
        <v>12283.7975560619</v>
      </c>
    </row>
    <row r="24" spans="1:13" x14ac:dyDescent="0.25">
      <c r="A24" s="227" t="s">
        <v>829</v>
      </c>
      <c r="B24" s="249" t="s">
        <v>822</v>
      </c>
      <c r="C24" s="249" t="s">
        <v>823</v>
      </c>
      <c r="D24" s="240">
        <v>20552.014084367798</v>
      </c>
      <c r="E24" s="240">
        <v>21420.587256781</v>
      </c>
      <c r="F24" s="240">
        <v>22437.033800669498</v>
      </c>
      <c r="G24" s="240">
        <v>24115.795042500002</v>
      </c>
      <c r="H24" s="240">
        <v>25321.584794625</v>
      </c>
      <c r="I24" s="240">
        <v>26587.664034356301</v>
      </c>
      <c r="J24" s="240">
        <v>27917.047236074101</v>
      </c>
      <c r="K24" s="240">
        <v>29312.8995978778</v>
      </c>
      <c r="L24" s="240">
        <v>30778.5445777717</v>
      </c>
      <c r="M24" s="240">
        <v>32317.4718066602</v>
      </c>
    </row>
    <row r="25" spans="1:13" x14ac:dyDescent="0.25">
      <c r="A25" s="227" t="s">
        <v>830</v>
      </c>
      <c r="B25" s="249" t="s">
        <v>822</v>
      </c>
      <c r="C25" s="249" t="s">
        <v>823</v>
      </c>
      <c r="D25" s="240">
        <v>5779.3125786582696</v>
      </c>
      <c r="E25" s="240">
        <v>6053.5421740225102</v>
      </c>
      <c r="F25" s="240">
        <v>6267.5137936456504</v>
      </c>
      <c r="G25" s="240">
        <v>6793.3604104182205</v>
      </c>
      <c r="H25" s="240">
        <v>7164.8467036817801</v>
      </c>
      <c r="I25" s="240">
        <v>7556.6365719758696</v>
      </c>
      <c r="J25" s="240">
        <v>7994.7230445641299</v>
      </c>
      <c r="K25" s="240">
        <v>8421.0041947270602</v>
      </c>
      <c r="L25" s="240">
        <v>8881.5204287853594</v>
      </c>
      <c r="M25" s="240">
        <v>9367.2075709409892</v>
      </c>
    </row>
    <row r="26" spans="1:13" x14ac:dyDescent="0.25">
      <c r="A26" s="227" t="s">
        <v>801</v>
      </c>
      <c r="B26" s="249"/>
      <c r="C26" s="249"/>
      <c r="D26" s="240"/>
      <c r="E26" s="240"/>
      <c r="F26" s="240"/>
      <c r="G26" s="240"/>
      <c r="H26" s="240"/>
      <c r="I26" s="240"/>
      <c r="J26" s="240"/>
      <c r="K26" s="240"/>
      <c r="L26" s="240"/>
      <c r="M26" s="240"/>
    </row>
    <row r="27" spans="1:13" x14ac:dyDescent="0.25">
      <c r="A27" s="227" t="s">
        <v>831</v>
      </c>
      <c r="B27" s="249" t="s">
        <v>832</v>
      </c>
      <c r="C27" s="249" t="s">
        <v>833</v>
      </c>
      <c r="D27" s="240">
        <v>62.070870884319802</v>
      </c>
      <c r="E27" s="240">
        <v>62.810797235332203</v>
      </c>
      <c r="F27" s="240">
        <v>63.205138915727801</v>
      </c>
      <c r="G27" s="240">
        <v>62.122064046419503</v>
      </c>
      <c r="H27" s="240">
        <v>62.244621339583396</v>
      </c>
      <c r="I27" s="240">
        <v>62.367178762035202</v>
      </c>
      <c r="J27" s="240">
        <v>62.505572819676303</v>
      </c>
      <c r="K27" s="240">
        <v>62.627162022751499</v>
      </c>
      <c r="L27" s="240">
        <v>62.749717053524797</v>
      </c>
      <c r="M27" s="240">
        <v>62.872272109472704</v>
      </c>
    </row>
    <row r="28" spans="1:13" x14ac:dyDescent="0.25">
      <c r="A28" s="227" t="s">
        <v>834</v>
      </c>
      <c r="B28" s="249" t="s">
        <v>835</v>
      </c>
      <c r="C28" s="249" t="s">
        <v>836</v>
      </c>
      <c r="D28" s="240">
        <v>16000.8421052632</v>
      </c>
      <c r="E28" s="240">
        <v>16980.315789473701</v>
      </c>
      <c r="F28" s="240">
        <v>18079.714285714301</v>
      </c>
      <c r="G28" s="240">
        <v>19069</v>
      </c>
      <c r="H28" s="240">
        <v>20205.25</v>
      </c>
      <c r="I28" s="240">
        <v>21678</v>
      </c>
      <c r="J28" s="240">
        <v>22926.666666666701</v>
      </c>
      <c r="K28" s="240">
        <v>24247.666666666701</v>
      </c>
      <c r="L28" s="240">
        <v>26230</v>
      </c>
      <c r="M28" s="240">
        <v>27835.5</v>
      </c>
    </row>
    <row r="29" spans="1:13" x14ac:dyDescent="0.25">
      <c r="A29" s="227" t="s">
        <v>837</v>
      </c>
      <c r="B29" s="249" t="s">
        <v>838</v>
      </c>
      <c r="C29" s="249" t="s">
        <v>839</v>
      </c>
      <c r="D29" s="240">
        <v>-2201.7142857142899</v>
      </c>
      <c r="E29" s="240">
        <v>-2148.3571428571399</v>
      </c>
      <c r="F29" s="240">
        <v>-2185.3636363636401</v>
      </c>
      <c r="G29" s="240">
        <v>-2127.5</v>
      </c>
      <c r="H29" s="240">
        <v>-2166.5</v>
      </c>
      <c r="I29" s="240">
        <v>-2327.3333333333298</v>
      </c>
      <c r="J29" s="240">
        <v>-2440.3333333333298</v>
      </c>
      <c r="K29" s="240">
        <v>-2554.6666666666702</v>
      </c>
      <c r="L29" s="240">
        <v>-2815.5</v>
      </c>
      <c r="M29" s="240">
        <v>-2954.5</v>
      </c>
    </row>
    <row r="30" spans="1:13" x14ac:dyDescent="0.25">
      <c r="A30" s="227" t="s">
        <v>801</v>
      </c>
      <c r="B30" s="249"/>
      <c r="C30" s="249"/>
      <c r="D30" s="240"/>
      <c r="E30" s="240"/>
      <c r="F30" s="240"/>
      <c r="G30" s="240"/>
      <c r="H30" s="240"/>
      <c r="I30" s="240"/>
      <c r="J30" s="240"/>
      <c r="K30" s="240"/>
      <c r="L30" s="240"/>
      <c r="M30" s="240"/>
    </row>
    <row r="31" spans="1:13" x14ac:dyDescent="0.25">
      <c r="A31" s="227" t="s">
        <v>840</v>
      </c>
      <c r="B31" s="249"/>
      <c r="C31" s="249"/>
      <c r="D31" s="240"/>
      <c r="E31" s="240"/>
      <c r="F31" s="240"/>
      <c r="G31" s="240"/>
      <c r="H31" s="240"/>
      <c r="I31" s="240"/>
      <c r="J31" s="240"/>
      <c r="K31" s="240"/>
      <c r="L31" s="240"/>
      <c r="M31" s="240"/>
    </row>
    <row r="32" spans="1:13" x14ac:dyDescent="0.25">
      <c r="A32" s="227" t="s">
        <v>801</v>
      </c>
      <c r="B32" s="249"/>
      <c r="C32" s="249"/>
      <c r="D32" s="240"/>
      <c r="E32" s="240"/>
      <c r="F32" s="240"/>
      <c r="G32" s="240"/>
      <c r="H32" s="240"/>
      <c r="I32" s="240"/>
      <c r="J32" s="240"/>
      <c r="K32" s="240"/>
      <c r="L32" s="240"/>
      <c r="M32" s="240"/>
    </row>
    <row r="33" spans="1:14" x14ac:dyDescent="0.25">
      <c r="A33" s="227" t="s">
        <v>841</v>
      </c>
      <c r="B33" s="249"/>
      <c r="C33" s="249"/>
      <c r="D33" s="240"/>
      <c r="E33" s="240"/>
      <c r="F33" s="240"/>
      <c r="G33" s="240"/>
      <c r="H33" s="240"/>
      <c r="I33" s="240"/>
      <c r="J33" s="240"/>
      <c r="K33" s="240"/>
      <c r="L33" s="240"/>
      <c r="M33" s="240"/>
    </row>
    <row r="34" spans="1:14" x14ac:dyDescent="0.25">
      <c r="A34" s="227" t="s">
        <v>802</v>
      </c>
      <c r="B34" s="249" t="s">
        <v>803</v>
      </c>
      <c r="C34" s="249" t="s">
        <v>804</v>
      </c>
      <c r="D34" s="240">
        <v>4.7258264184528702</v>
      </c>
      <c r="E34" s="240">
        <v>4.6633719491632499</v>
      </c>
      <c r="F34" s="240">
        <v>4.6689495413654596</v>
      </c>
      <c r="G34" s="240">
        <v>4.2408924812572497</v>
      </c>
      <c r="H34" s="240">
        <v>4.4995557392584997</v>
      </c>
      <c r="I34" s="240">
        <v>4.5092980871093502</v>
      </c>
      <c r="J34" s="240">
        <v>4.8022752275110303</v>
      </c>
      <c r="K34" s="240">
        <v>4.2819890293974501</v>
      </c>
      <c r="L34" s="240">
        <v>4.5408700358281404</v>
      </c>
      <c r="M34" s="240">
        <v>4.55102350335126</v>
      </c>
      <c r="N34" s="89">
        <f>+AVERAGE(D34:M34)</f>
        <v>4.548405201269456</v>
      </c>
    </row>
    <row r="35" spans="1:14" x14ac:dyDescent="0.25">
      <c r="A35" s="227" t="s">
        <v>842</v>
      </c>
      <c r="B35" s="249" t="s">
        <v>803</v>
      </c>
      <c r="C35" s="249" t="s">
        <v>804</v>
      </c>
      <c r="D35" s="240">
        <v>5.7951020410071399</v>
      </c>
      <c r="E35" s="240">
        <v>4.5261133125798398</v>
      </c>
      <c r="F35" s="240">
        <v>4.5518363597911904</v>
      </c>
      <c r="G35" s="240">
        <v>3.7190631467103801</v>
      </c>
      <c r="H35" s="240">
        <v>3.98203092481431</v>
      </c>
      <c r="I35" s="240">
        <v>3.9818125493184402</v>
      </c>
      <c r="J35" s="240">
        <v>4.3566415946459101</v>
      </c>
      <c r="K35" s="240">
        <v>3.7197778149194201</v>
      </c>
      <c r="L35" s="240">
        <v>3.9824571181467601</v>
      </c>
      <c r="M35" s="240">
        <v>3.9822393880211502</v>
      </c>
      <c r="N35" s="89">
        <f>+AVERAGE(D35:M35)</f>
        <v>4.2597074249954545</v>
      </c>
    </row>
    <row r="36" spans="1:14" x14ac:dyDescent="0.25">
      <c r="A36" s="227" t="s">
        <v>828</v>
      </c>
      <c r="B36" s="249" t="s">
        <v>803</v>
      </c>
      <c r="C36" s="249" t="s">
        <v>804</v>
      </c>
      <c r="D36" s="240">
        <v>4.5139482186502304</v>
      </c>
      <c r="E36" s="240">
        <v>6.5433256589834796</v>
      </c>
      <c r="F36" s="240">
        <v>6.5</v>
      </c>
      <c r="G36" s="240">
        <f t="shared" ref="G36:M36" si="0">+F36</f>
        <v>6.5</v>
      </c>
      <c r="H36" s="240">
        <f t="shared" si="0"/>
        <v>6.5</v>
      </c>
      <c r="I36" s="240">
        <f t="shared" si="0"/>
        <v>6.5</v>
      </c>
      <c r="J36" s="240">
        <f t="shared" si="0"/>
        <v>6.5</v>
      </c>
      <c r="K36" s="240">
        <f t="shared" si="0"/>
        <v>6.5</v>
      </c>
      <c r="L36" s="240">
        <f t="shared" si="0"/>
        <v>6.5</v>
      </c>
      <c r="M36" s="240">
        <f t="shared" si="0"/>
        <v>6.5</v>
      </c>
      <c r="N36" s="89">
        <f>+AVERAGE(D36:M36)</f>
        <v>6.3057273877633708</v>
      </c>
    </row>
    <row r="37" spans="1:14" x14ac:dyDescent="0.25">
      <c r="A37" s="227" t="s">
        <v>829</v>
      </c>
      <c r="B37" s="249" t="s">
        <v>803</v>
      </c>
      <c r="C37" s="249" t="s">
        <v>804</v>
      </c>
      <c r="D37" s="240">
        <v>5.1145988714098598</v>
      </c>
      <c r="E37" s="240">
        <v>4.20548479918991</v>
      </c>
      <c r="F37" s="240">
        <v>4.36432969034687</v>
      </c>
      <c r="G37" s="240">
        <v>4.2558039897070401</v>
      </c>
      <c r="H37" s="240">
        <v>4.3816364621526303</v>
      </c>
      <c r="I37" s="240">
        <v>4.3815331223916996</v>
      </c>
      <c r="J37" s="240">
        <v>4.4692868260540797</v>
      </c>
      <c r="K37" s="240">
        <v>4.2560638886124504</v>
      </c>
      <c r="L37" s="240">
        <v>4.3818392225213403</v>
      </c>
      <c r="M37" s="240">
        <v>4.3817358656550098</v>
      </c>
      <c r="N37" s="89">
        <f>+AVERAGE(D37:M37)</f>
        <v>4.4192312738040895</v>
      </c>
    </row>
    <row r="38" spans="1:14" x14ac:dyDescent="0.25">
      <c r="A38" s="227" t="s">
        <v>830</v>
      </c>
      <c r="B38" s="249" t="s">
        <v>803</v>
      </c>
      <c r="C38" s="249" t="s">
        <v>804</v>
      </c>
      <c r="D38" s="240">
        <v>1.61353747043564</v>
      </c>
      <c r="E38" s="240">
        <v>4.0113099499493101</v>
      </c>
      <c r="F38" s="240">
        <v>4.6312062040161397</v>
      </c>
      <c r="G38" s="240">
        <v>5.1487101788828102</v>
      </c>
      <c r="H38" s="240">
        <v>5.4339401353036099</v>
      </c>
      <c r="I38" s="240">
        <v>5.4336070683119297</v>
      </c>
      <c r="J38" s="240">
        <v>6.1215387466639903</v>
      </c>
      <c r="K38" s="240">
        <v>5.1500027322728297</v>
      </c>
      <c r="L38" s="240">
        <v>5.4345871745999803</v>
      </c>
      <c r="M38" s="240">
        <v>5.4342564870635197</v>
      </c>
      <c r="N38" s="89">
        <f>+AVERAGE(D38:M38)</f>
        <v>4.8412696147499767</v>
      </c>
    </row>
    <row r="39" spans="1:14" x14ac:dyDescent="0.25">
      <c r="A39" s="227" t="s">
        <v>821</v>
      </c>
      <c r="B39" s="249" t="s">
        <v>803</v>
      </c>
      <c r="C39" s="249" t="s">
        <v>804</v>
      </c>
      <c r="D39" s="240">
        <v>4.7353966870095903</v>
      </c>
      <c r="E39" s="240">
        <v>4.8955426471540804</v>
      </c>
      <c r="F39" s="240">
        <v>5.2</v>
      </c>
      <c r="G39" s="240">
        <v>5</v>
      </c>
      <c r="H39" s="240">
        <v>5</v>
      </c>
      <c r="I39" s="240">
        <v>5</v>
      </c>
      <c r="J39" s="240">
        <v>5</v>
      </c>
      <c r="K39" s="240">
        <v>5</v>
      </c>
      <c r="L39" s="240">
        <v>5</v>
      </c>
      <c r="M39" s="240">
        <v>5</v>
      </c>
    </row>
    <row r="40" spans="1:14" x14ac:dyDescent="0.25">
      <c r="A40" s="227" t="s">
        <v>801</v>
      </c>
      <c r="B40" s="249"/>
      <c r="C40" s="249"/>
      <c r="D40" s="240"/>
      <c r="E40" s="240"/>
      <c r="F40" s="240"/>
      <c r="G40" s="240"/>
      <c r="H40" s="240"/>
      <c r="I40" s="240"/>
      <c r="J40" s="240"/>
      <c r="K40" s="240"/>
      <c r="L40" s="240"/>
      <c r="M40" s="240"/>
    </row>
    <row r="41" spans="1:14" x14ac:dyDescent="0.25">
      <c r="A41" s="227" t="s">
        <v>805</v>
      </c>
      <c r="B41" s="249" t="s">
        <v>806</v>
      </c>
      <c r="C41" s="249" t="s">
        <v>807</v>
      </c>
      <c r="D41" s="240">
        <v>2.48640201015249</v>
      </c>
      <c r="E41" s="240">
        <v>2.7216901425670299</v>
      </c>
      <c r="F41" s="240">
        <v>2.6476572850511699</v>
      </c>
      <c r="G41" s="240">
        <v>2.6090837669477001</v>
      </c>
      <c r="H41" s="240">
        <v>2.5915584485705399</v>
      </c>
      <c r="I41" s="240">
        <v>2.5917736091491399</v>
      </c>
      <c r="J41" s="240">
        <v>2.50469252517644</v>
      </c>
      <c r="K41" s="240">
        <v>2.6103248487740802</v>
      </c>
      <c r="L41" s="240">
        <v>2.5927149508310698</v>
      </c>
      <c r="M41" s="240">
        <v>2.5931228772693302</v>
      </c>
    </row>
    <row r="42" spans="1:14" x14ac:dyDescent="0.25">
      <c r="A42" s="227" t="s">
        <v>842</v>
      </c>
      <c r="B42" s="249" t="s">
        <v>806</v>
      </c>
      <c r="C42" s="249" t="s">
        <v>807</v>
      </c>
      <c r="D42" s="240">
        <v>4.18989460779569</v>
      </c>
      <c r="E42" s="240">
        <v>2.47215528356283</v>
      </c>
      <c r="F42" s="240">
        <v>2.5714285714285698</v>
      </c>
      <c r="G42" s="240">
        <v>2.75</v>
      </c>
      <c r="H42" s="240">
        <v>2.75</v>
      </c>
      <c r="I42" s="240">
        <v>2.75</v>
      </c>
      <c r="J42" s="240">
        <v>2.75</v>
      </c>
      <c r="K42" s="240">
        <v>2.75</v>
      </c>
      <c r="L42" s="240">
        <v>2.75</v>
      </c>
      <c r="M42" s="240">
        <v>2.75</v>
      </c>
    </row>
    <row r="43" spans="1:14" x14ac:dyDescent="0.25">
      <c r="A43" s="227" t="s">
        <v>828</v>
      </c>
      <c r="B43" s="249" t="s">
        <v>806</v>
      </c>
      <c r="C43" s="249" t="s">
        <v>807</v>
      </c>
      <c r="D43" s="240">
        <v>2.4595365046488098</v>
      </c>
      <c r="E43" s="240">
        <v>4.3052705818900296</v>
      </c>
      <c r="F43" s="240">
        <v>4.1666666666666696</v>
      </c>
      <c r="G43" s="240">
        <v>4.25</v>
      </c>
      <c r="H43" s="240">
        <v>4.25</v>
      </c>
      <c r="I43" s="240">
        <v>4.25</v>
      </c>
      <c r="J43" s="240">
        <v>4.25</v>
      </c>
      <c r="K43" s="240">
        <v>4.25</v>
      </c>
      <c r="L43" s="240">
        <v>4.25</v>
      </c>
      <c r="M43" s="240">
        <v>4.25</v>
      </c>
    </row>
    <row r="44" spans="1:14" x14ac:dyDescent="0.25">
      <c r="A44" s="227" t="s">
        <v>829</v>
      </c>
      <c r="B44" s="249" t="s">
        <v>806</v>
      </c>
      <c r="C44" s="249" t="s">
        <v>807</v>
      </c>
      <c r="D44" s="240">
        <v>2.4441446842526</v>
      </c>
      <c r="E44" s="240">
        <v>2.6896293920894498</v>
      </c>
      <c r="F44" s="240">
        <v>2.4583333333333299</v>
      </c>
      <c r="G44" s="240">
        <v>2.875</v>
      </c>
      <c r="H44" s="240">
        <v>2.875</v>
      </c>
      <c r="I44" s="240">
        <v>2.875</v>
      </c>
      <c r="J44" s="240">
        <v>2.875</v>
      </c>
      <c r="K44" s="240">
        <v>2.875</v>
      </c>
      <c r="L44" s="240">
        <v>2.875</v>
      </c>
      <c r="M44" s="240">
        <v>2.875</v>
      </c>
    </row>
    <row r="45" spans="1:14" x14ac:dyDescent="0.25">
      <c r="A45" s="227" t="s">
        <v>830</v>
      </c>
      <c r="B45" s="249" t="s">
        <v>806</v>
      </c>
      <c r="C45" s="249" t="s">
        <v>807</v>
      </c>
      <c r="D45" s="240">
        <v>-2.3913584269657102</v>
      </c>
      <c r="E45" s="240">
        <v>1.82381332769374</v>
      </c>
      <c r="F45" s="240">
        <v>2</v>
      </c>
      <c r="G45" s="240">
        <v>2.25</v>
      </c>
      <c r="H45" s="240">
        <v>2.25</v>
      </c>
      <c r="I45" s="240">
        <v>2.25</v>
      </c>
      <c r="J45" s="240">
        <v>2.25</v>
      </c>
      <c r="K45" s="240">
        <v>2.25</v>
      </c>
      <c r="L45" s="240">
        <v>2.25</v>
      </c>
      <c r="M45" s="240">
        <v>2.25</v>
      </c>
    </row>
    <row r="46" spans="1:14" x14ac:dyDescent="0.25">
      <c r="A46" s="227" t="s">
        <v>821</v>
      </c>
      <c r="B46" s="249" t="s">
        <v>806</v>
      </c>
      <c r="C46" s="249" t="s">
        <v>807</v>
      </c>
      <c r="D46" s="240">
        <v>0.582203574542284</v>
      </c>
      <c r="E46" s="240">
        <v>2.05627190530091</v>
      </c>
      <c r="F46" s="240">
        <v>2.4166666666666701</v>
      </c>
      <c r="G46" s="240">
        <v>2.75</v>
      </c>
      <c r="H46" s="240">
        <v>2.75</v>
      </c>
      <c r="I46" s="240">
        <v>2.75</v>
      </c>
      <c r="J46" s="240">
        <v>2.75</v>
      </c>
      <c r="K46" s="240">
        <v>2.75</v>
      </c>
      <c r="L46" s="240">
        <v>2.75</v>
      </c>
      <c r="M46" s="240">
        <v>2.75</v>
      </c>
    </row>
    <row r="47" spans="1:14" x14ac:dyDescent="0.25">
      <c r="A47" s="227" t="s">
        <v>801</v>
      </c>
      <c r="B47" s="249"/>
      <c r="C47" s="249"/>
      <c r="D47" s="240"/>
      <c r="E47" s="240"/>
      <c r="F47" s="240"/>
      <c r="G47" s="240"/>
      <c r="H47" s="240"/>
      <c r="I47" s="240"/>
      <c r="J47" s="240"/>
      <c r="K47" s="240"/>
      <c r="L47" s="240"/>
      <c r="M47" s="240"/>
    </row>
    <row r="48" spans="1:14" x14ac:dyDescent="0.25">
      <c r="A48" s="227" t="s">
        <v>808</v>
      </c>
      <c r="B48" s="249" t="s">
        <v>809</v>
      </c>
      <c r="C48" s="249" t="s">
        <v>810</v>
      </c>
      <c r="D48" s="240">
        <v>2.2991337002023098</v>
      </c>
      <c r="E48" s="240">
        <v>1.8760071816813799</v>
      </c>
      <c r="F48" s="240">
        <v>2.0212922563142999</v>
      </c>
      <c r="G48" s="240">
        <v>1.6318087143095501</v>
      </c>
      <c r="H48" s="240">
        <v>1.9079972906879601</v>
      </c>
      <c r="I48" s="240">
        <v>1.9175244779602101</v>
      </c>
      <c r="J48" s="240">
        <v>2.2975827023345898</v>
      </c>
      <c r="K48" s="240">
        <v>1.6716641806233701</v>
      </c>
      <c r="L48" s="240">
        <v>1.9481550849970599</v>
      </c>
      <c r="M48" s="240">
        <v>1.9579006260819201</v>
      </c>
    </row>
    <row r="49" spans="1:13" x14ac:dyDescent="0.25">
      <c r="A49" s="227" t="s">
        <v>842</v>
      </c>
      <c r="B49" s="249" t="s">
        <v>809</v>
      </c>
      <c r="C49" s="249" t="s">
        <v>810</v>
      </c>
      <c r="D49" s="240">
        <v>1.8853464596452401</v>
      </c>
      <c r="E49" s="240">
        <v>1.8797657883476699</v>
      </c>
      <c r="F49" s="240">
        <v>1.7470259712794201</v>
      </c>
      <c r="G49" s="240">
        <v>1.35953157335519</v>
      </c>
      <c r="H49" s="240">
        <v>1.4910154624071601</v>
      </c>
      <c r="I49" s="240">
        <v>1.4909062746592201</v>
      </c>
      <c r="J49" s="240">
        <v>1.6783207973229499</v>
      </c>
      <c r="K49" s="240">
        <v>1.35988890745971</v>
      </c>
      <c r="L49" s="240">
        <v>1.49122855907338</v>
      </c>
      <c r="M49" s="240">
        <v>1.49111969401057</v>
      </c>
    </row>
    <row r="50" spans="1:13" x14ac:dyDescent="0.25">
      <c r="A50" s="227" t="s">
        <v>828</v>
      </c>
      <c r="B50" s="249" t="s">
        <v>809</v>
      </c>
      <c r="C50" s="249" t="s">
        <v>810</v>
      </c>
      <c r="D50" s="240">
        <v>2.21210290568873</v>
      </c>
      <c r="E50" s="240">
        <v>2.56562419634581</v>
      </c>
      <c r="F50" s="240">
        <v>2.4702097085055201</v>
      </c>
      <c r="G50" s="240">
        <v>2.37522526765623</v>
      </c>
      <c r="H50" s="240">
        <v>2.5064484511475</v>
      </c>
      <c r="I50" s="240">
        <v>2.5062672397247798</v>
      </c>
      <c r="J50" s="240">
        <v>2.6016904905230902</v>
      </c>
      <c r="K50" s="240">
        <v>2.3757069747977502</v>
      </c>
      <c r="L50" s="240">
        <v>2.5068040640349798</v>
      </c>
      <c r="M50" s="240">
        <v>2.5066228330381199</v>
      </c>
    </row>
    <row r="51" spans="1:13" x14ac:dyDescent="0.25">
      <c r="A51" s="227" t="s">
        <v>829</v>
      </c>
      <c r="B51" s="249" t="s">
        <v>809</v>
      </c>
      <c r="C51" s="249" t="s">
        <v>810</v>
      </c>
      <c r="D51" s="240">
        <v>2.7632415310912601</v>
      </c>
      <c r="E51" s="240">
        <v>1.53535371812155</v>
      </c>
      <c r="F51" s="240">
        <v>1.82575826177544</v>
      </c>
      <c r="G51" s="240">
        <v>1.3808039897070401</v>
      </c>
      <c r="H51" s="240">
        <v>1.50663646215262</v>
      </c>
      <c r="I51" s="240">
        <v>1.5065331223917</v>
      </c>
      <c r="J51" s="240">
        <v>1.5942868260540899</v>
      </c>
      <c r="K51" s="240">
        <v>1.38106388861244</v>
      </c>
      <c r="L51" s="240">
        <v>1.5068392225213401</v>
      </c>
      <c r="M51" s="240">
        <v>1.50673586565502</v>
      </c>
    </row>
    <row r="52" spans="1:13" x14ac:dyDescent="0.25">
      <c r="A52" s="227" t="s">
        <v>830</v>
      </c>
      <c r="B52" s="249" t="s">
        <v>809</v>
      </c>
      <c r="C52" s="249" t="s">
        <v>810</v>
      </c>
      <c r="D52" s="240">
        <v>4.4111757788103798</v>
      </c>
      <c r="E52" s="240">
        <v>2.35164996671128</v>
      </c>
      <c r="F52" s="240">
        <v>2.5937187171543901</v>
      </c>
      <c r="G52" s="240">
        <v>3.0743550894413998</v>
      </c>
      <c r="H52" s="240">
        <v>3.2169700676518</v>
      </c>
      <c r="I52" s="240">
        <v>3.2168035341559702</v>
      </c>
      <c r="J52" s="240">
        <v>3.5607693733320001</v>
      </c>
      <c r="K52" s="240">
        <v>3.0750013661364202</v>
      </c>
      <c r="L52" s="240">
        <v>3.2172935872999902</v>
      </c>
      <c r="M52" s="240">
        <v>3.2171282435317599</v>
      </c>
    </row>
    <row r="53" spans="1:13" x14ac:dyDescent="0.25">
      <c r="A53" s="227" t="s">
        <v>821</v>
      </c>
      <c r="B53" s="249" t="s">
        <v>809</v>
      </c>
      <c r="C53" s="249" t="s">
        <v>810</v>
      </c>
      <c r="D53" s="240">
        <v>3.64015093722755</v>
      </c>
      <c r="E53" s="240">
        <v>2.5625</v>
      </c>
      <c r="F53" s="240">
        <v>2.4166666666666701</v>
      </c>
      <c r="G53" s="240">
        <v>2.5</v>
      </c>
      <c r="H53" s="240">
        <v>2.5</v>
      </c>
      <c r="I53" s="240">
        <v>2.5</v>
      </c>
      <c r="J53" s="240">
        <v>2.5</v>
      </c>
      <c r="K53" s="240">
        <v>2.5</v>
      </c>
      <c r="L53" s="240">
        <v>2.5</v>
      </c>
      <c r="M53" s="240">
        <v>2.5</v>
      </c>
    </row>
    <row r="54" spans="1:13" x14ac:dyDescent="0.25">
      <c r="A54" s="227" t="s">
        <v>801</v>
      </c>
      <c r="B54" s="249"/>
      <c r="C54" s="249"/>
      <c r="D54" s="240"/>
      <c r="E54" s="240"/>
      <c r="F54" s="240"/>
      <c r="G54" s="240"/>
      <c r="H54" s="240"/>
      <c r="I54" s="240"/>
      <c r="J54" s="240"/>
      <c r="K54" s="240"/>
      <c r="L54" s="240"/>
      <c r="M54" s="240"/>
    </row>
    <row r="55" spans="1:13" x14ac:dyDescent="0.25">
      <c r="A55" s="227" t="s">
        <v>811</v>
      </c>
      <c r="B55" s="249" t="s">
        <v>812</v>
      </c>
      <c r="C55" s="249" t="s">
        <v>813</v>
      </c>
      <c r="D55" s="240">
        <v>2.2186818047355601</v>
      </c>
      <c r="E55" s="240">
        <v>1.9003567334848599</v>
      </c>
      <c r="F55" s="240">
        <v>1.87796939392749</v>
      </c>
      <c r="G55" s="240">
        <v>1.9139446340447701</v>
      </c>
      <c r="H55" s="240">
        <v>1.92393020801003</v>
      </c>
      <c r="I55" s="240">
        <v>1.9339760945731099</v>
      </c>
      <c r="J55" s="240">
        <v>1.9440811063338601</v>
      </c>
      <c r="K55" s="240">
        <v>1.9542440168698301</v>
      </c>
      <c r="L55" s="240">
        <v>1.9644635611033101</v>
      </c>
      <c r="M55" s="240">
        <v>1.9747384357189599</v>
      </c>
    </row>
    <row r="56" spans="1:13" x14ac:dyDescent="0.25">
      <c r="A56" s="227" t="s">
        <v>842</v>
      </c>
      <c r="B56" s="249" t="s">
        <v>812</v>
      </c>
      <c r="C56" s="249" t="s">
        <v>813</v>
      </c>
      <c r="D56" s="240">
        <v>1.88181643262136</v>
      </c>
      <c r="E56" s="240">
        <v>1.6889500292558901</v>
      </c>
      <c r="F56" s="240">
        <v>1.7034607629915499</v>
      </c>
      <c r="G56" s="240">
        <v>1</v>
      </c>
      <c r="H56" s="240">
        <v>1</v>
      </c>
      <c r="I56" s="240">
        <v>1</v>
      </c>
      <c r="J56" s="240">
        <v>0.99999999999997902</v>
      </c>
      <c r="K56" s="240">
        <v>1</v>
      </c>
      <c r="L56" s="240">
        <v>1.00000000000002</v>
      </c>
      <c r="M56" s="240">
        <v>1</v>
      </c>
    </row>
    <row r="57" spans="1:13" x14ac:dyDescent="0.25">
      <c r="A57" s="227" t="s">
        <v>828</v>
      </c>
      <c r="B57" s="249" t="s">
        <v>812</v>
      </c>
      <c r="C57" s="249" t="s">
        <v>813</v>
      </c>
      <c r="D57" s="240">
        <v>1.6583258116533</v>
      </c>
      <c r="E57" s="240">
        <v>2.3410470895812199</v>
      </c>
      <c r="F57" s="240">
        <v>2.0993745880415799</v>
      </c>
      <c r="G57" s="240">
        <v>2</v>
      </c>
      <c r="H57" s="240">
        <v>1.99999999999998</v>
      </c>
      <c r="I57" s="240">
        <v>2</v>
      </c>
      <c r="J57" s="240">
        <v>2</v>
      </c>
      <c r="K57" s="240">
        <v>2</v>
      </c>
      <c r="L57" s="240">
        <v>2</v>
      </c>
      <c r="M57" s="240">
        <v>2</v>
      </c>
    </row>
    <row r="58" spans="1:13" x14ac:dyDescent="0.25">
      <c r="A58" s="227" t="s">
        <v>829</v>
      </c>
      <c r="B58" s="249" t="s">
        <v>812</v>
      </c>
      <c r="C58" s="249" t="s">
        <v>813</v>
      </c>
      <c r="D58" s="240">
        <v>1.8141939500684101</v>
      </c>
      <c r="E58" s="240">
        <v>1.2533775114619701</v>
      </c>
      <c r="F58" s="240">
        <v>1.30055688802831</v>
      </c>
      <c r="G58" s="240">
        <v>0.99999999999997902</v>
      </c>
      <c r="H58" s="240">
        <v>1</v>
      </c>
      <c r="I58" s="240">
        <v>1.00000000000002</v>
      </c>
      <c r="J58" s="240">
        <v>1</v>
      </c>
      <c r="K58" s="240">
        <v>0.99999999999997902</v>
      </c>
      <c r="L58" s="240">
        <v>1.00000000000002</v>
      </c>
      <c r="M58" s="240">
        <v>1</v>
      </c>
    </row>
    <row r="59" spans="1:13" x14ac:dyDescent="0.25">
      <c r="A59" s="227" t="s">
        <v>830</v>
      </c>
      <c r="B59" s="249" t="s">
        <v>812</v>
      </c>
      <c r="C59" s="249" t="s">
        <v>813</v>
      </c>
      <c r="D59" s="240">
        <v>3.9881926450885299</v>
      </c>
      <c r="E59" s="240">
        <v>2.72473850762466</v>
      </c>
      <c r="F59" s="240">
        <v>2.5152320099625598</v>
      </c>
      <c r="G59" s="240">
        <v>3.4999999999999898</v>
      </c>
      <c r="H59" s="240">
        <v>3.4999999999999898</v>
      </c>
      <c r="I59" s="240">
        <v>3.4999999999999698</v>
      </c>
      <c r="J59" s="240">
        <v>3.4999999999999898</v>
      </c>
      <c r="K59" s="240">
        <v>3.4999999999999698</v>
      </c>
      <c r="L59" s="240">
        <v>3.5000000000000102</v>
      </c>
      <c r="M59" s="240">
        <v>3.4999999999999698</v>
      </c>
    </row>
    <row r="60" spans="1:13" x14ac:dyDescent="0.25">
      <c r="A60" s="227" t="s">
        <v>843</v>
      </c>
      <c r="B60" s="249" t="s">
        <v>812</v>
      </c>
      <c r="C60" s="249" t="s">
        <v>813</v>
      </c>
      <c r="D60" s="240">
        <v>2.3266160169385999</v>
      </c>
      <c r="E60" s="240">
        <v>2.8571428571428599</v>
      </c>
      <c r="F60" s="240">
        <v>2.6</v>
      </c>
      <c r="G60" s="240">
        <v>2</v>
      </c>
      <c r="H60" s="240">
        <v>2</v>
      </c>
      <c r="I60" s="240">
        <v>2</v>
      </c>
      <c r="J60" s="240">
        <v>2</v>
      </c>
      <c r="K60" s="240">
        <v>2</v>
      </c>
      <c r="L60" s="240">
        <v>2</v>
      </c>
      <c r="M60" s="240">
        <v>2</v>
      </c>
    </row>
    <row r="61" spans="1:13" x14ac:dyDescent="0.25">
      <c r="A61" s="227" t="s">
        <v>844</v>
      </c>
      <c r="B61" s="249" t="s">
        <v>812</v>
      </c>
      <c r="C61" s="249" t="s">
        <v>813</v>
      </c>
      <c r="D61" s="240"/>
      <c r="E61" s="240"/>
      <c r="F61" s="240"/>
      <c r="G61" s="240"/>
      <c r="H61" s="240"/>
      <c r="I61" s="240"/>
      <c r="J61" s="240"/>
      <c r="K61" s="240"/>
      <c r="L61" s="240"/>
      <c r="M61" s="240"/>
    </row>
    <row r="62" spans="1:13" x14ac:dyDescent="0.25">
      <c r="A62" s="227" t="s">
        <v>845</v>
      </c>
      <c r="B62" s="249" t="s">
        <v>812</v>
      </c>
      <c r="C62" s="249" t="s">
        <v>813</v>
      </c>
      <c r="D62" s="240"/>
      <c r="E62" s="240"/>
      <c r="F62" s="240"/>
      <c r="G62" s="240"/>
      <c r="H62" s="240"/>
      <c r="I62" s="240"/>
      <c r="J62" s="240"/>
      <c r="K62" s="240"/>
      <c r="L62" s="240"/>
      <c r="M62" s="240"/>
    </row>
    <row r="63" spans="1:13" x14ac:dyDescent="0.25">
      <c r="A63" s="227" t="s">
        <v>846</v>
      </c>
      <c r="B63" s="249" t="s">
        <v>812</v>
      </c>
      <c r="C63" s="249" t="s">
        <v>813</v>
      </c>
      <c r="D63" s="240"/>
      <c r="E63" s="240"/>
      <c r="F63" s="240"/>
      <c r="G63" s="240"/>
      <c r="H63" s="240"/>
      <c r="I63" s="240"/>
      <c r="J63" s="240"/>
      <c r="K63" s="240"/>
      <c r="L63" s="240"/>
      <c r="M63" s="240"/>
    </row>
    <row r="64" spans="1:13" x14ac:dyDescent="0.25">
      <c r="A64" s="227" t="s">
        <v>847</v>
      </c>
      <c r="B64" s="249" t="s">
        <v>812</v>
      </c>
      <c r="C64" s="249" t="s">
        <v>813</v>
      </c>
      <c r="D64" s="240"/>
      <c r="E64" s="240"/>
      <c r="F64" s="240"/>
      <c r="G64" s="240"/>
      <c r="H64" s="240"/>
      <c r="I64" s="240"/>
      <c r="J64" s="240"/>
      <c r="K64" s="240"/>
      <c r="L64" s="240"/>
      <c r="M64" s="240"/>
    </row>
    <row r="65" spans="1:13" x14ac:dyDescent="0.25">
      <c r="A65" s="227" t="s">
        <v>848</v>
      </c>
      <c r="B65" s="249" t="s">
        <v>812</v>
      </c>
      <c r="C65" s="249" t="s">
        <v>813</v>
      </c>
      <c r="D65" s="240"/>
      <c r="E65" s="240"/>
      <c r="F65" s="240"/>
      <c r="G65" s="240"/>
      <c r="H65" s="240"/>
      <c r="I65" s="240"/>
      <c r="J65" s="240"/>
      <c r="K65" s="240"/>
      <c r="L65" s="240"/>
      <c r="M65" s="240"/>
    </row>
    <row r="66" spans="1:13" x14ac:dyDescent="0.25">
      <c r="A66" s="227" t="s">
        <v>849</v>
      </c>
      <c r="B66" s="249" t="s">
        <v>812</v>
      </c>
      <c r="C66" s="249" t="s">
        <v>813</v>
      </c>
      <c r="D66" s="240"/>
      <c r="E66" s="240"/>
      <c r="F66" s="240"/>
      <c r="G66" s="240"/>
      <c r="H66" s="240"/>
      <c r="I66" s="240"/>
      <c r="J66" s="240"/>
      <c r="K66" s="240"/>
      <c r="L66" s="240"/>
      <c r="M66" s="240"/>
    </row>
    <row r="67" spans="1:13" x14ac:dyDescent="0.25">
      <c r="A67" s="227" t="s">
        <v>850</v>
      </c>
      <c r="B67" s="249" t="s">
        <v>812</v>
      </c>
      <c r="C67" s="249" t="s">
        <v>813</v>
      </c>
      <c r="D67" s="240"/>
      <c r="E67" s="240"/>
      <c r="F67" s="240"/>
      <c r="G67" s="240"/>
      <c r="H67" s="240"/>
      <c r="I67" s="240"/>
      <c r="J67" s="240"/>
      <c r="K67" s="240"/>
      <c r="L67" s="240"/>
      <c r="M67" s="240"/>
    </row>
    <row r="68" spans="1:13" x14ac:dyDescent="0.25">
      <c r="A68" s="227" t="s">
        <v>851</v>
      </c>
      <c r="B68" s="249" t="s">
        <v>812</v>
      </c>
      <c r="C68" s="249" t="s">
        <v>813</v>
      </c>
      <c r="D68" s="240"/>
      <c r="E68" s="240"/>
      <c r="F68" s="240"/>
      <c r="G68" s="240"/>
      <c r="H68" s="240"/>
      <c r="I68" s="240"/>
      <c r="J68" s="240"/>
      <c r="K68" s="240"/>
      <c r="L68" s="240"/>
      <c r="M68" s="240"/>
    </row>
    <row r="69" spans="1:13" x14ac:dyDescent="0.25">
      <c r="A69" s="227" t="s">
        <v>852</v>
      </c>
      <c r="B69" s="249" t="s">
        <v>812</v>
      </c>
      <c r="C69" s="249" t="s">
        <v>813</v>
      </c>
      <c r="D69" s="240"/>
      <c r="E69" s="240"/>
      <c r="F69" s="240"/>
      <c r="G69" s="240"/>
      <c r="H69" s="240"/>
      <c r="I69" s="240"/>
      <c r="J69" s="240"/>
      <c r="K69" s="240"/>
      <c r="L69" s="240"/>
      <c r="M69" s="240"/>
    </row>
    <row r="70" spans="1:13" x14ac:dyDescent="0.25">
      <c r="A70" s="227" t="s">
        <v>853</v>
      </c>
      <c r="B70" s="249" t="s">
        <v>812</v>
      </c>
      <c r="C70" s="249" t="s">
        <v>813</v>
      </c>
      <c r="D70" s="240"/>
      <c r="E70" s="240"/>
      <c r="F70" s="240"/>
      <c r="G70" s="240"/>
      <c r="H70" s="240"/>
      <c r="I70" s="240"/>
      <c r="J70" s="240"/>
      <c r="K70" s="240"/>
      <c r="L70" s="240"/>
      <c r="M70" s="240"/>
    </row>
    <row r="71" spans="1:13" x14ac:dyDescent="0.25">
      <c r="A71" s="227" t="s">
        <v>801</v>
      </c>
      <c r="B71" s="249"/>
      <c r="C71" s="249"/>
      <c r="D71" s="240"/>
      <c r="E71" s="240"/>
      <c r="F71" s="240"/>
      <c r="G71" s="240"/>
      <c r="H71" s="240"/>
      <c r="I71" s="240"/>
      <c r="J71" s="240"/>
      <c r="K71" s="240"/>
      <c r="L71" s="240"/>
      <c r="M71" s="240"/>
    </row>
    <row r="72" spans="1:13" x14ac:dyDescent="0.25">
      <c r="A72" s="227" t="s">
        <v>814</v>
      </c>
      <c r="B72" s="249" t="s">
        <v>815</v>
      </c>
      <c r="C72" s="249" t="s">
        <v>816</v>
      </c>
      <c r="D72" s="240">
        <v>1.4544124326769099</v>
      </c>
      <c r="E72" s="240">
        <v>5.8872842910162697E-2</v>
      </c>
      <c r="F72" s="240">
        <v>0</v>
      </c>
      <c r="G72" s="240"/>
      <c r="H72" s="240"/>
      <c r="I72" s="240"/>
      <c r="J72" s="240"/>
      <c r="K72" s="240"/>
      <c r="L72" s="240"/>
      <c r="M72" s="240"/>
    </row>
    <row r="73" spans="1:13" x14ac:dyDescent="0.25">
      <c r="A73" s="227" t="s">
        <v>842</v>
      </c>
      <c r="B73" s="249" t="s">
        <v>815</v>
      </c>
      <c r="C73" s="249" t="s">
        <v>816</v>
      </c>
      <c r="D73" s="240">
        <v>2.98706175870795</v>
      </c>
      <c r="E73" s="240">
        <v>6.2714170223565902E-2</v>
      </c>
      <c r="F73" s="240"/>
      <c r="G73" s="240"/>
      <c r="H73" s="240"/>
      <c r="I73" s="240"/>
      <c r="J73" s="240"/>
      <c r="K73" s="240"/>
      <c r="L73" s="240"/>
      <c r="M73" s="240"/>
    </row>
    <row r="74" spans="1:13" x14ac:dyDescent="0.25">
      <c r="A74" s="227" t="s">
        <v>828</v>
      </c>
      <c r="B74" s="249" t="s">
        <v>815</v>
      </c>
      <c r="C74" s="249" t="s">
        <v>816</v>
      </c>
      <c r="D74" s="240">
        <v>3.6264313808275399</v>
      </c>
      <c r="E74" s="240">
        <v>0.44824430641623197</v>
      </c>
      <c r="F74" s="240"/>
      <c r="G74" s="240"/>
      <c r="H74" s="240"/>
      <c r="I74" s="240"/>
      <c r="J74" s="240"/>
      <c r="K74" s="240"/>
      <c r="L74" s="240"/>
      <c r="M74" s="240"/>
    </row>
    <row r="75" spans="1:13" x14ac:dyDescent="0.25">
      <c r="A75" s="227" t="s">
        <v>829</v>
      </c>
      <c r="B75" s="249" t="s">
        <v>815</v>
      </c>
      <c r="C75" s="249" t="s">
        <v>816</v>
      </c>
      <c r="D75" s="240"/>
      <c r="E75" s="240"/>
      <c r="F75" s="240"/>
      <c r="G75" s="240"/>
      <c r="H75" s="240"/>
      <c r="I75" s="240"/>
      <c r="J75" s="240"/>
      <c r="K75" s="240"/>
      <c r="L75" s="240"/>
      <c r="M75" s="240"/>
    </row>
    <row r="76" spans="1:13" x14ac:dyDescent="0.25">
      <c r="A76" s="227" t="s">
        <v>830</v>
      </c>
      <c r="B76" s="249" t="s">
        <v>815</v>
      </c>
      <c r="C76" s="249" t="s">
        <v>816</v>
      </c>
      <c r="D76" s="240">
        <v>0.53642815657816401</v>
      </c>
      <c r="E76" s="240">
        <v>1.0153698792414199E-2</v>
      </c>
      <c r="F76" s="240"/>
      <c r="G76" s="240"/>
      <c r="H76" s="240"/>
      <c r="I76" s="240"/>
      <c r="J76" s="240"/>
      <c r="K76" s="240"/>
      <c r="L76" s="240"/>
      <c r="M76" s="240"/>
    </row>
    <row r="77" spans="1:13" x14ac:dyDescent="0.25">
      <c r="A77" s="227" t="s">
        <v>821</v>
      </c>
      <c r="B77" s="249" t="s">
        <v>815</v>
      </c>
      <c r="C77" s="249" t="s">
        <v>816</v>
      </c>
      <c r="D77" s="240">
        <v>2.6532632188057002</v>
      </c>
      <c r="E77" s="240">
        <v>-0.12833038252537299</v>
      </c>
      <c r="F77" s="240"/>
      <c r="G77" s="240"/>
      <c r="H77" s="240"/>
      <c r="I77" s="240"/>
      <c r="J77" s="240"/>
      <c r="K77" s="240"/>
      <c r="L77" s="240"/>
      <c r="M77" s="240"/>
    </row>
    <row r="78" spans="1:13" x14ac:dyDescent="0.25">
      <c r="A78" s="227" t="s">
        <v>801</v>
      </c>
      <c r="B78" s="249"/>
      <c r="C78" s="249"/>
      <c r="D78" s="240"/>
      <c r="E78" s="240"/>
      <c r="F78" s="240"/>
      <c r="G78" s="240"/>
      <c r="H78" s="240"/>
      <c r="I78" s="240"/>
      <c r="J78" s="240"/>
      <c r="K78" s="240"/>
      <c r="L78" s="240"/>
      <c r="M78" s="240"/>
    </row>
    <row r="79" spans="1:13" x14ac:dyDescent="0.25">
      <c r="A79" s="227" t="s">
        <v>817</v>
      </c>
      <c r="B79" s="249" t="s">
        <v>818</v>
      </c>
      <c r="C79" s="249" t="s">
        <v>819</v>
      </c>
      <c r="D79" s="240">
        <v>-4.2056104509087904</v>
      </c>
      <c r="E79" s="240">
        <v>-3.3554203465257602</v>
      </c>
      <c r="F79" s="240">
        <v>0</v>
      </c>
      <c r="G79" s="240"/>
      <c r="H79" s="240"/>
      <c r="I79" s="240"/>
      <c r="J79" s="240"/>
      <c r="K79" s="240"/>
      <c r="L79" s="240"/>
      <c r="M79" s="240"/>
    </row>
    <row r="80" spans="1:13" x14ac:dyDescent="0.25">
      <c r="A80" s="227" t="s">
        <v>842</v>
      </c>
      <c r="B80" s="249" t="s">
        <v>818</v>
      </c>
      <c r="C80" s="249" t="s">
        <v>819</v>
      </c>
      <c r="D80" s="240">
        <v>-7.9276130518982901</v>
      </c>
      <c r="E80" s="240">
        <v>-4.0950026103602299</v>
      </c>
      <c r="F80" s="240"/>
      <c r="G80" s="240"/>
      <c r="H80" s="240"/>
      <c r="I80" s="240"/>
      <c r="J80" s="240"/>
      <c r="K80" s="240"/>
      <c r="L80" s="240"/>
      <c r="M80" s="240"/>
    </row>
    <row r="81" spans="1:13" x14ac:dyDescent="0.25">
      <c r="A81" s="227" t="s">
        <v>828</v>
      </c>
      <c r="B81" s="249" t="s">
        <v>818</v>
      </c>
      <c r="C81" s="249" t="s">
        <v>819</v>
      </c>
      <c r="D81" s="240"/>
      <c r="E81" s="240"/>
      <c r="F81" s="240"/>
      <c r="G81" s="240"/>
      <c r="H81" s="240"/>
      <c r="I81" s="240"/>
      <c r="J81" s="240"/>
      <c r="K81" s="240"/>
      <c r="L81" s="240"/>
      <c r="M81" s="240"/>
    </row>
    <row r="82" spans="1:13" x14ac:dyDescent="0.25">
      <c r="A82" s="227" t="s">
        <v>829</v>
      </c>
      <c r="B82" s="249" t="s">
        <v>818</v>
      </c>
      <c r="C82" s="249" t="s">
        <v>819</v>
      </c>
      <c r="D82" s="240"/>
      <c r="E82" s="240"/>
      <c r="F82" s="240"/>
      <c r="G82" s="240"/>
      <c r="H82" s="240"/>
      <c r="I82" s="240"/>
      <c r="J82" s="240"/>
      <c r="K82" s="240"/>
      <c r="L82" s="240"/>
      <c r="M82" s="240"/>
    </row>
    <row r="83" spans="1:13" x14ac:dyDescent="0.25">
      <c r="A83" s="227" t="s">
        <v>830</v>
      </c>
      <c r="B83" s="249" t="s">
        <v>818</v>
      </c>
      <c r="C83" s="249" t="s">
        <v>819</v>
      </c>
      <c r="D83" s="240">
        <v>-0.875</v>
      </c>
      <c r="E83" s="240">
        <v>0</v>
      </c>
      <c r="F83" s="240"/>
      <c r="G83" s="240"/>
      <c r="H83" s="240"/>
      <c r="I83" s="240"/>
      <c r="J83" s="240"/>
      <c r="K83" s="240"/>
      <c r="L83" s="240"/>
      <c r="M83" s="240"/>
    </row>
    <row r="84" spans="1:13" x14ac:dyDescent="0.25">
      <c r="A84" s="227" t="s">
        <v>821</v>
      </c>
      <c r="B84" s="249" t="s">
        <v>818</v>
      </c>
      <c r="C84" s="249" t="s">
        <v>819</v>
      </c>
      <c r="D84" s="240">
        <v>-28.4653227062831</v>
      </c>
      <c r="E84" s="240">
        <v>-40.319509016277998</v>
      </c>
      <c r="F84" s="240"/>
      <c r="G84" s="240"/>
      <c r="H84" s="240"/>
      <c r="I84" s="240"/>
      <c r="J84" s="240"/>
      <c r="K84" s="240"/>
      <c r="L84" s="240"/>
      <c r="M84" s="240"/>
    </row>
    <row r="85" spans="1:13" x14ac:dyDescent="0.25">
      <c r="A85" s="227" t="s">
        <v>801</v>
      </c>
      <c r="B85" s="249"/>
      <c r="C85" s="249"/>
      <c r="D85" s="240"/>
      <c r="E85" s="240"/>
      <c r="F85" s="240"/>
      <c r="G85" s="240"/>
      <c r="H85" s="240"/>
      <c r="I85" s="240"/>
      <c r="J85" s="240"/>
      <c r="K85" s="240"/>
      <c r="L85" s="240"/>
      <c r="M85" s="240"/>
    </row>
    <row r="86" spans="1:13" x14ac:dyDescent="0.25">
      <c r="A86" s="227" t="s">
        <v>854</v>
      </c>
      <c r="B86" s="249"/>
      <c r="C86" s="249"/>
      <c r="D86" s="240"/>
      <c r="E86" s="240"/>
      <c r="F86" s="240"/>
      <c r="G86" s="240"/>
      <c r="H86" s="240"/>
      <c r="I86" s="240"/>
      <c r="J86" s="240"/>
      <c r="K86" s="240"/>
      <c r="L86" s="240"/>
      <c r="M86" s="240"/>
    </row>
    <row r="87" spans="1:13" x14ac:dyDescent="0.25">
      <c r="A87" s="227" t="s">
        <v>842</v>
      </c>
      <c r="B87" s="249" t="s">
        <v>855</v>
      </c>
      <c r="C87" s="249" t="s">
        <v>856</v>
      </c>
      <c r="D87" s="240">
        <v>7.1761315882998096</v>
      </c>
      <c r="E87" s="240">
        <v>4.6650618814250899</v>
      </c>
      <c r="F87" s="240">
        <v>4.5656692041991098</v>
      </c>
      <c r="G87" s="240"/>
      <c r="H87" s="240"/>
      <c r="I87" s="240"/>
      <c r="J87" s="240"/>
      <c r="K87" s="240"/>
      <c r="L87" s="240"/>
      <c r="M87" s="240"/>
    </row>
    <row r="88" spans="1:13" x14ac:dyDescent="0.25">
      <c r="A88" s="227" t="s">
        <v>828</v>
      </c>
      <c r="B88" s="249" t="s">
        <v>855</v>
      </c>
      <c r="C88" s="249" t="s">
        <v>856</v>
      </c>
      <c r="D88" s="240">
        <v>3.9473962348212299</v>
      </c>
      <c r="E88" s="240">
        <v>9.4048212928519899</v>
      </c>
      <c r="F88" s="240">
        <v>9.7210233965162693</v>
      </c>
      <c r="G88" s="240"/>
      <c r="H88" s="240"/>
      <c r="I88" s="240"/>
      <c r="J88" s="240"/>
      <c r="K88" s="240"/>
      <c r="L88" s="240"/>
      <c r="M88" s="240"/>
    </row>
    <row r="89" spans="1:13" x14ac:dyDescent="0.25">
      <c r="A89" s="227" t="s">
        <v>829</v>
      </c>
      <c r="B89" s="249" t="s">
        <v>855</v>
      </c>
      <c r="C89" s="249" t="s">
        <v>856</v>
      </c>
      <c r="D89" s="240">
        <v>6.0733454645670202</v>
      </c>
      <c r="E89" s="240">
        <v>6.4221057305124196</v>
      </c>
      <c r="F89" s="240">
        <v>5.7699923944603002</v>
      </c>
      <c r="G89" s="240">
        <v>5.25</v>
      </c>
      <c r="H89" s="240">
        <v>4.9999999999999796</v>
      </c>
      <c r="I89" s="240">
        <v>5</v>
      </c>
      <c r="J89" s="240">
        <v>5</v>
      </c>
      <c r="K89" s="240">
        <v>5.0000000000000302</v>
      </c>
      <c r="L89" s="240">
        <v>4.9999999999999796</v>
      </c>
      <c r="M89" s="240">
        <v>5</v>
      </c>
    </row>
    <row r="90" spans="1:13" x14ac:dyDescent="0.25">
      <c r="A90" s="227" t="s">
        <v>830</v>
      </c>
      <c r="B90" s="249" t="s">
        <v>855</v>
      </c>
      <c r="C90" s="249" t="s">
        <v>856</v>
      </c>
      <c r="D90" s="240">
        <v>-4.5150385445484202</v>
      </c>
      <c r="E90" s="240">
        <v>10.8484430672207</v>
      </c>
      <c r="F90" s="240">
        <v>6.6897038408489502</v>
      </c>
      <c r="G90" s="240"/>
      <c r="H90" s="240"/>
      <c r="I90" s="240"/>
      <c r="J90" s="240"/>
      <c r="K90" s="240"/>
      <c r="L90" s="240"/>
      <c r="M90" s="240"/>
    </row>
    <row r="91" spans="1:13" x14ac:dyDescent="0.25">
      <c r="A91" s="227" t="s">
        <v>821</v>
      </c>
      <c r="B91" s="249" t="s">
        <v>855</v>
      </c>
      <c r="C91" s="249" t="s">
        <v>856</v>
      </c>
      <c r="D91" s="240">
        <v>21.7276995305164</v>
      </c>
      <c r="E91" s="240">
        <v>8.2010782456651601</v>
      </c>
      <c r="F91" s="240"/>
      <c r="G91" s="240"/>
      <c r="H91" s="240"/>
      <c r="I91" s="240"/>
      <c r="J91" s="240"/>
      <c r="K91" s="240"/>
      <c r="L91" s="240"/>
      <c r="M91" s="240"/>
    </row>
    <row r="92" spans="1:13" x14ac:dyDescent="0.25">
      <c r="A92" s="227" t="s">
        <v>801</v>
      </c>
      <c r="B92" s="249"/>
      <c r="C92" s="249"/>
      <c r="D92" s="240"/>
      <c r="E92" s="240"/>
      <c r="F92" s="240"/>
      <c r="G92" s="240"/>
      <c r="H92" s="240"/>
      <c r="I92" s="240"/>
      <c r="J92" s="240"/>
      <c r="K92" s="240"/>
      <c r="L92" s="240"/>
      <c r="M92" s="240"/>
    </row>
    <row r="93" spans="1:13" x14ac:dyDescent="0.25">
      <c r="A93" s="227" t="s">
        <v>857</v>
      </c>
      <c r="B93" s="249"/>
      <c r="C93" s="249"/>
      <c r="D93" s="240"/>
      <c r="E93" s="240"/>
      <c r="F93" s="240"/>
      <c r="G93" s="240"/>
      <c r="H93" s="240"/>
      <c r="I93" s="240"/>
      <c r="J93" s="240"/>
      <c r="K93" s="240"/>
      <c r="L93" s="240"/>
      <c r="M93" s="240"/>
    </row>
    <row r="94" spans="1:13" x14ac:dyDescent="0.25">
      <c r="A94" s="227" t="s">
        <v>858</v>
      </c>
      <c r="B94" s="249" t="s">
        <v>803</v>
      </c>
      <c r="C94" s="249" t="s">
        <v>804</v>
      </c>
      <c r="D94" s="240"/>
      <c r="E94" s="240"/>
      <c r="F94" s="240"/>
      <c r="G94" s="240"/>
      <c r="H94" s="240"/>
      <c r="I94" s="240"/>
      <c r="J94" s="240"/>
      <c r="K94" s="240"/>
      <c r="L94" s="240"/>
      <c r="M94" s="240"/>
    </row>
    <row r="95" spans="1:13" x14ac:dyDescent="0.25">
      <c r="A95" s="227" t="s">
        <v>859</v>
      </c>
      <c r="B95" s="249" t="s">
        <v>806</v>
      </c>
      <c r="C95" s="249" t="s">
        <v>807</v>
      </c>
      <c r="D95" s="240"/>
      <c r="E95" s="240"/>
      <c r="F95" s="240"/>
      <c r="G95" s="240"/>
      <c r="H95" s="240"/>
      <c r="I95" s="240"/>
      <c r="J95" s="240"/>
      <c r="K95" s="240"/>
      <c r="L95" s="240"/>
      <c r="M95" s="240"/>
    </row>
    <row r="96" spans="1:13" x14ac:dyDescent="0.25">
      <c r="A96" s="227" t="s">
        <v>860</v>
      </c>
      <c r="B96" s="249" t="s">
        <v>809</v>
      </c>
      <c r="C96" s="249" t="s">
        <v>810</v>
      </c>
      <c r="D96" s="240"/>
      <c r="E96" s="240"/>
      <c r="F96" s="240"/>
      <c r="G96" s="240"/>
      <c r="H96" s="240"/>
      <c r="I96" s="240"/>
      <c r="J96" s="240"/>
      <c r="K96" s="240"/>
      <c r="L96" s="240"/>
      <c r="M96" s="240"/>
    </row>
    <row r="97" spans="1:13" x14ac:dyDescent="0.25">
      <c r="A97" s="227" t="s">
        <v>861</v>
      </c>
      <c r="B97" s="249" t="s">
        <v>812</v>
      </c>
      <c r="C97" s="249" t="s">
        <v>813</v>
      </c>
      <c r="D97" s="240"/>
      <c r="E97" s="240"/>
      <c r="F97" s="240"/>
      <c r="G97" s="240"/>
      <c r="H97" s="240"/>
      <c r="I97" s="240"/>
      <c r="J97" s="240"/>
      <c r="K97" s="240"/>
      <c r="L97" s="240"/>
      <c r="M97" s="240"/>
    </row>
    <row r="98" spans="1:13" x14ac:dyDescent="0.25">
      <c r="A98" s="227" t="s">
        <v>862</v>
      </c>
      <c r="B98" s="249" t="s">
        <v>815</v>
      </c>
      <c r="C98" s="249" t="s">
        <v>816</v>
      </c>
      <c r="D98" s="240"/>
      <c r="E98" s="240"/>
      <c r="F98" s="240"/>
      <c r="G98" s="240"/>
      <c r="H98" s="240"/>
      <c r="I98" s="240"/>
      <c r="J98" s="240"/>
      <c r="K98" s="240"/>
      <c r="L98" s="240"/>
      <c r="M98" s="240"/>
    </row>
    <row r="99" spans="1:13" x14ac:dyDescent="0.25">
      <c r="A99" s="227" t="s">
        <v>863</v>
      </c>
      <c r="B99" s="249" t="s">
        <v>818</v>
      </c>
      <c r="C99" s="249" t="s">
        <v>819</v>
      </c>
      <c r="D99" s="240"/>
      <c r="E99" s="240"/>
      <c r="F99" s="240"/>
      <c r="G99" s="240"/>
      <c r="H99" s="240"/>
      <c r="I99" s="240"/>
      <c r="J99" s="240"/>
      <c r="K99" s="240"/>
      <c r="L99" s="240"/>
      <c r="M99" s="240"/>
    </row>
    <row r="100" spans="1:13" x14ac:dyDescent="0.25">
      <c r="A100" s="227" t="s">
        <v>864</v>
      </c>
      <c r="B100" s="249" t="s">
        <v>855</v>
      </c>
      <c r="C100" s="249" t="s">
        <v>856</v>
      </c>
      <c r="D100" s="240"/>
      <c r="E100" s="240"/>
      <c r="F100" s="240"/>
      <c r="G100" s="240"/>
      <c r="H100" s="240"/>
      <c r="I100" s="240"/>
      <c r="J100" s="240"/>
      <c r="K100" s="240"/>
      <c r="L100" s="240"/>
      <c r="M100" s="240"/>
    </row>
    <row r="101" spans="1:13" x14ac:dyDescent="0.25">
      <c r="A101" s="227" t="s">
        <v>801</v>
      </c>
      <c r="B101" s="249"/>
      <c r="C101" s="249"/>
      <c r="D101" s="240"/>
      <c r="E101" s="240"/>
      <c r="F101" s="240"/>
      <c r="G101" s="240"/>
      <c r="H101" s="240"/>
      <c r="I101" s="240"/>
      <c r="J101" s="240"/>
      <c r="K101" s="240"/>
      <c r="L101" s="240"/>
      <c r="M101" s="240"/>
    </row>
    <row r="102" spans="1:13" x14ac:dyDescent="0.25">
      <c r="A102" s="227" t="s">
        <v>865</v>
      </c>
      <c r="B102" s="249"/>
      <c r="C102" s="249"/>
      <c r="D102" s="240"/>
      <c r="E102" s="240"/>
      <c r="F102" s="240"/>
      <c r="G102" s="240"/>
      <c r="H102" s="240"/>
      <c r="I102" s="240"/>
      <c r="J102" s="240"/>
      <c r="K102" s="240"/>
      <c r="L102" s="240"/>
      <c r="M102" s="240"/>
    </row>
    <row r="103" spans="1:13" x14ac:dyDescent="0.25">
      <c r="A103" s="227" t="s">
        <v>866</v>
      </c>
      <c r="B103" s="249"/>
      <c r="C103" s="249"/>
      <c r="D103" s="240"/>
      <c r="E103" s="240"/>
      <c r="F103" s="240"/>
      <c r="G103" s="240"/>
      <c r="H103" s="240"/>
      <c r="I103" s="240"/>
      <c r="J103" s="240"/>
      <c r="K103" s="240"/>
      <c r="L103" s="240"/>
      <c r="M103" s="240"/>
    </row>
    <row r="104" spans="1:13" x14ac:dyDescent="0.25">
      <c r="A104" s="227" t="s">
        <v>867</v>
      </c>
      <c r="B104" s="249" t="s">
        <v>822</v>
      </c>
      <c r="C104" s="249" t="s">
        <v>823</v>
      </c>
      <c r="D104" s="240">
        <v>4547.8244850087603</v>
      </c>
      <c r="E104" s="240">
        <v>2991.2171975506499</v>
      </c>
      <c r="F104" s="240">
        <v>3407.1848235778398</v>
      </c>
      <c r="G104" s="240">
        <v>3480.9578100799999</v>
      </c>
      <c r="H104" s="240">
        <v>3665.6084835843999</v>
      </c>
      <c r="I104" s="240">
        <v>3860.0748438290402</v>
      </c>
      <c r="J104" s="240">
        <v>4064.87974856951</v>
      </c>
      <c r="K104" s="240">
        <v>4280.5739624872103</v>
      </c>
      <c r="L104" s="240">
        <v>4507.73764955769</v>
      </c>
      <c r="M104" s="240">
        <v>4746.98194537374</v>
      </c>
    </row>
    <row r="105" spans="1:13" x14ac:dyDescent="0.25">
      <c r="A105" s="227" t="s">
        <v>868</v>
      </c>
      <c r="B105" s="249" t="s">
        <v>869</v>
      </c>
      <c r="C105" s="249" t="s">
        <v>870</v>
      </c>
      <c r="D105" s="240">
        <v>8.2368738921588793</v>
      </c>
      <c r="E105" s="240">
        <v>4.6620666053897599</v>
      </c>
      <c r="F105" s="240">
        <v>4.6354880805908296</v>
      </c>
      <c r="G105" s="240"/>
      <c r="H105" s="240"/>
      <c r="I105" s="240"/>
      <c r="J105" s="240"/>
      <c r="K105" s="240"/>
      <c r="L105" s="240"/>
      <c r="M105" s="240"/>
    </row>
    <row r="106" spans="1:13" x14ac:dyDescent="0.25">
      <c r="A106" s="227" t="s">
        <v>871</v>
      </c>
      <c r="B106" s="249" t="s">
        <v>420</v>
      </c>
      <c r="C106" s="249" t="s">
        <v>872</v>
      </c>
      <c r="D106" s="240">
        <v>482.86484503325698</v>
      </c>
      <c r="E106" s="240">
        <v>396.06765391599203</v>
      </c>
      <c r="F106" s="240">
        <v>415.07299753964401</v>
      </c>
      <c r="G106" s="240"/>
      <c r="H106" s="240"/>
      <c r="I106" s="240"/>
      <c r="J106" s="240"/>
      <c r="K106" s="240"/>
      <c r="L106" s="240"/>
      <c r="M106" s="240"/>
    </row>
    <row r="107" spans="1:13" x14ac:dyDescent="0.25">
      <c r="A107" s="227" t="s">
        <v>873</v>
      </c>
      <c r="B107" s="249" t="s">
        <v>874</v>
      </c>
      <c r="C107" s="249" t="s">
        <v>875</v>
      </c>
      <c r="D107" s="240">
        <v>400.119818808312</v>
      </c>
      <c r="E107" s="240">
        <v>283.01937273487903</v>
      </c>
      <c r="F107" s="240">
        <v>326.42238709199398</v>
      </c>
      <c r="G107" s="240">
        <v>368.30560271638399</v>
      </c>
      <c r="H107" s="240">
        <v>394.73300151192598</v>
      </c>
      <c r="I107" s="240">
        <v>422.95617783982902</v>
      </c>
      <c r="J107" s="240">
        <v>453.09289763407799</v>
      </c>
      <c r="K107" s="240">
        <v>485.26845925157102</v>
      </c>
      <c r="L107" s="240">
        <v>519.61616642051797</v>
      </c>
      <c r="M107" s="240">
        <v>556.27783046501895</v>
      </c>
    </row>
    <row r="108" spans="1:13" x14ac:dyDescent="0.25">
      <c r="A108" s="227" t="s">
        <v>876</v>
      </c>
      <c r="B108" s="249" t="s">
        <v>877</v>
      </c>
      <c r="C108" s="249" t="s">
        <v>878</v>
      </c>
      <c r="D108" s="240">
        <v>8.7078805553719398</v>
      </c>
      <c r="E108" s="240">
        <v>8.9842082172777094</v>
      </c>
      <c r="F108" s="240">
        <v>8.9649419493439808</v>
      </c>
      <c r="G108" s="240">
        <v>10.2062255830847</v>
      </c>
      <c r="H108" s="240">
        <v>10.371663416471799</v>
      </c>
      <c r="I108" s="240">
        <v>10.537486372081601</v>
      </c>
      <c r="J108" s="240">
        <v>10.7036981177448</v>
      </c>
      <c r="K108" s="240">
        <v>10.870302356223901</v>
      </c>
      <c r="L108" s="240">
        <v>11.0373028255457</v>
      </c>
      <c r="M108" s="240">
        <v>11.204703299337099</v>
      </c>
    </row>
    <row r="109" spans="1:13" x14ac:dyDescent="0.25">
      <c r="A109" s="227" t="s">
        <v>801</v>
      </c>
      <c r="B109" s="249"/>
      <c r="C109" s="249"/>
      <c r="D109" s="240"/>
      <c r="E109" s="240"/>
      <c r="F109" s="240"/>
      <c r="G109" s="240"/>
      <c r="H109" s="240"/>
      <c r="I109" s="240"/>
      <c r="J109" s="240"/>
      <c r="K109" s="240"/>
      <c r="L109" s="240"/>
      <c r="M109" s="240"/>
    </row>
    <row r="110" spans="1:13" x14ac:dyDescent="0.25">
      <c r="A110" s="227" t="s">
        <v>879</v>
      </c>
      <c r="B110" s="249"/>
      <c r="C110" s="249"/>
      <c r="D110" s="240"/>
      <c r="E110" s="240"/>
      <c r="F110" s="240"/>
      <c r="G110" s="240"/>
      <c r="H110" s="240"/>
      <c r="I110" s="240"/>
      <c r="J110" s="240"/>
      <c r="K110" s="240"/>
      <c r="L110" s="240"/>
      <c r="M110" s="240"/>
    </row>
    <row r="111" spans="1:13" x14ac:dyDescent="0.25">
      <c r="A111" s="227" t="s">
        <v>867</v>
      </c>
      <c r="B111" s="249" t="s">
        <v>822</v>
      </c>
      <c r="C111" s="249" t="s">
        <v>823</v>
      </c>
      <c r="D111" s="240">
        <v>150.08836247400501</v>
      </c>
      <c r="E111" s="240">
        <v>154.79571147469801</v>
      </c>
      <c r="F111" s="240">
        <v>156.190834875934</v>
      </c>
      <c r="G111" s="240">
        <v>171.33711456104101</v>
      </c>
      <c r="H111" s="240">
        <v>179.27498561341201</v>
      </c>
      <c r="I111" s="240">
        <v>187.59267541969501</v>
      </c>
      <c r="J111" s="240">
        <v>196.30905173077301</v>
      </c>
      <c r="K111" s="240">
        <v>205.44395947832299</v>
      </c>
      <c r="L111" s="240">
        <v>215.01827366460699</v>
      </c>
      <c r="M111" s="240">
        <v>225.05395524353099</v>
      </c>
    </row>
    <row r="112" spans="1:13" x14ac:dyDescent="0.25">
      <c r="A112" s="227" t="s">
        <v>868</v>
      </c>
      <c r="B112" s="249" t="s">
        <v>869</v>
      </c>
      <c r="C112" s="249" t="s">
        <v>870</v>
      </c>
      <c r="D112" s="240">
        <v>0.29826174391589799</v>
      </c>
      <c r="E112" s="240">
        <v>0.29849910207682401</v>
      </c>
      <c r="F112" s="240">
        <v>0.28981412224404501</v>
      </c>
      <c r="G112" s="240"/>
      <c r="H112" s="240"/>
      <c r="I112" s="240"/>
      <c r="J112" s="240"/>
      <c r="K112" s="240"/>
      <c r="L112" s="240"/>
      <c r="M112" s="240"/>
    </row>
    <row r="113" spans="1:13" x14ac:dyDescent="0.25">
      <c r="A113" s="227" t="s">
        <v>871</v>
      </c>
      <c r="B113" s="249" t="s">
        <v>420</v>
      </c>
      <c r="C113" s="249" t="s">
        <v>872</v>
      </c>
      <c r="D113" s="240">
        <v>-1386.8950874454799</v>
      </c>
      <c r="E113" s="240">
        <v>-1985.2011361350501</v>
      </c>
      <c r="F113" s="240">
        <v>-2287.2946293052</v>
      </c>
      <c r="G113" s="240">
        <v>-1378.77623217818</v>
      </c>
      <c r="H113" s="240">
        <v>-1390.8652583149401</v>
      </c>
      <c r="I113" s="240">
        <v>-1400.4850455191499</v>
      </c>
      <c r="J113" s="240">
        <v>-1407.3359722565399</v>
      </c>
      <c r="K113" s="240">
        <v>-1411.09271154115</v>
      </c>
      <c r="L113" s="240">
        <v>-1411.4022551948501</v>
      </c>
      <c r="M113" s="240">
        <v>-1407.8817927447101</v>
      </c>
    </row>
    <row r="114" spans="1:13" x14ac:dyDescent="0.25">
      <c r="A114" s="227" t="s">
        <v>873</v>
      </c>
      <c r="B114" s="249" t="s">
        <v>874</v>
      </c>
      <c r="C114" s="249" t="s">
        <v>875</v>
      </c>
      <c r="D114" s="240">
        <v>-1569.59743648381</v>
      </c>
      <c r="E114" s="240">
        <v>-1542.7238459533301</v>
      </c>
      <c r="F114" s="240">
        <v>-1638.2996399935801</v>
      </c>
      <c r="G114" s="240">
        <v>-1518.7142839157</v>
      </c>
      <c r="H114" s="240">
        <v>-1562.0784745362701</v>
      </c>
      <c r="I114" s="240">
        <v>-1605.88743118043</v>
      </c>
      <c r="J114" s="240">
        <v>-1650.0669154280599</v>
      </c>
      <c r="K114" s="240">
        <v>-1694.5332368888501</v>
      </c>
      <c r="L114" s="240">
        <v>-1739.1924183660301</v>
      </c>
      <c r="M114" s="240">
        <v>-1783.93929522554</v>
      </c>
    </row>
    <row r="115" spans="1:13" x14ac:dyDescent="0.25">
      <c r="A115" s="227" t="s">
        <v>880</v>
      </c>
      <c r="B115" s="249" t="s">
        <v>881</v>
      </c>
      <c r="C115" s="249" t="s">
        <v>882</v>
      </c>
      <c r="D115" s="240"/>
      <c r="E115" s="240"/>
      <c r="F115" s="240"/>
      <c r="G115" s="240"/>
      <c r="H115" s="240"/>
      <c r="I115" s="240"/>
      <c r="J115" s="240"/>
      <c r="K115" s="240"/>
      <c r="L115" s="240"/>
      <c r="M115" s="240"/>
    </row>
    <row r="116" spans="1:13" x14ac:dyDescent="0.25">
      <c r="A116" s="227" t="s">
        <v>801</v>
      </c>
      <c r="B116" s="249"/>
      <c r="C116" s="249"/>
      <c r="D116" s="240"/>
      <c r="E116" s="240"/>
      <c r="F116" s="240"/>
      <c r="G116" s="240"/>
      <c r="H116" s="240"/>
      <c r="I116" s="240"/>
      <c r="J116" s="240"/>
      <c r="K116" s="240"/>
      <c r="L116" s="240"/>
      <c r="M116" s="240"/>
    </row>
    <row r="117" spans="1:13" x14ac:dyDescent="0.25">
      <c r="A117" s="227" t="s">
        <v>883</v>
      </c>
      <c r="B117" s="249"/>
      <c r="C117" s="249"/>
      <c r="D117" s="240"/>
      <c r="E117" s="240"/>
      <c r="F117" s="240"/>
      <c r="G117" s="240"/>
      <c r="H117" s="240"/>
      <c r="I117" s="240"/>
      <c r="J117" s="240"/>
      <c r="K117" s="240"/>
      <c r="L117" s="240"/>
      <c r="M117" s="240"/>
    </row>
    <row r="118" spans="1:13" x14ac:dyDescent="0.25">
      <c r="A118" s="227" t="s">
        <v>867</v>
      </c>
      <c r="B118" s="249" t="s">
        <v>337</v>
      </c>
      <c r="C118" s="249" t="s">
        <v>800</v>
      </c>
      <c r="D118" s="240">
        <v>-980.75922237434702</v>
      </c>
      <c r="E118" s="240">
        <v>-878.78020598919295</v>
      </c>
      <c r="F118" s="240">
        <v>-967.71507362438695</v>
      </c>
      <c r="G118" s="240">
        <v>-780.26778968412702</v>
      </c>
      <c r="H118" s="240">
        <v>-820.79511555966894</v>
      </c>
      <c r="I118" s="240">
        <v>-863.46361112656098</v>
      </c>
      <c r="J118" s="240">
        <v>-908.38868318377604</v>
      </c>
      <c r="K118" s="240">
        <v>-955.69210261097498</v>
      </c>
      <c r="L118" s="240">
        <v>-1005.50236429787</v>
      </c>
      <c r="M118" s="240">
        <v>-1057.9550679840299</v>
      </c>
    </row>
    <row r="119" spans="1:13" x14ac:dyDescent="0.25">
      <c r="A119" s="227" t="s">
        <v>801</v>
      </c>
      <c r="B119" s="249"/>
      <c r="C119" s="249"/>
      <c r="D119" s="240"/>
      <c r="E119" s="240"/>
      <c r="F119" s="240"/>
      <c r="G119" s="240"/>
      <c r="H119" s="240"/>
      <c r="I119" s="240"/>
      <c r="J119" s="240"/>
      <c r="K119" s="240"/>
      <c r="L119" s="240"/>
      <c r="M119" s="240"/>
    </row>
    <row r="120" spans="1:13" x14ac:dyDescent="0.25">
      <c r="A120" s="227" t="s">
        <v>857</v>
      </c>
      <c r="B120" s="249"/>
      <c r="C120" s="249"/>
      <c r="D120" s="240"/>
      <c r="E120" s="240"/>
      <c r="F120" s="240"/>
      <c r="G120" s="240"/>
      <c r="H120" s="240"/>
      <c r="I120" s="240"/>
      <c r="J120" s="240"/>
      <c r="K120" s="240"/>
      <c r="L120" s="240"/>
      <c r="M120" s="240"/>
    </row>
    <row r="121" spans="1:13" x14ac:dyDescent="0.25">
      <c r="A121" s="227" t="s">
        <v>884</v>
      </c>
      <c r="B121" s="249"/>
      <c r="C121" s="249"/>
      <c r="D121" s="240"/>
      <c r="E121" s="240"/>
      <c r="F121" s="240"/>
      <c r="G121" s="240"/>
      <c r="H121" s="240"/>
      <c r="I121" s="240"/>
      <c r="J121" s="240"/>
      <c r="K121" s="240"/>
      <c r="L121" s="240"/>
      <c r="M121" s="240"/>
    </row>
    <row r="122" spans="1:13" x14ac:dyDescent="0.25">
      <c r="A122" s="227" t="s">
        <v>867</v>
      </c>
      <c r="B122" s="249" t="s">
        <v>822</v>
      </c>
      <c r="C122" s="249" t="s">
        <v>823</v>
      </c>
      <c r="D122" s="240"/>
      <c r="E122" s="240"/>
      <c r="F122" s="240"/>
      <c r="G122" s="240"/>
      <c r="H122" s="240"/>
      <c r="I122" s="240"/>
      <c r="J122" s="240"/>
      <c r="K122" s="240"/>
      <c r="L122" s="240"/>
      <c r="M122" s="240"/>
    </row>
    <row r="123" spans="1:13" x14ac:dyDescent="0.25">
      <c r="A123" s="227" t="s">
        <v>868</v>
      </c>
      <c r="B123" s="249" t="s">
        <v>869</v>
      </c>
      <c r="C123" s="249" t="s">
        <v>870</v>
      </c>
      <c r="D123" s="240"/>
      <c r="E123" s="240"/>
      <c r="F123" s="240"/>
      <c r="G123" s="240"/>
      <c r="H123" s="240"/>
      <c r="I123" s="240"/>
      <c r="J123" s="240"/>
      <c r="K123" s="240"/>
      <c r="L123" s="240"/>
      <c r="M123" s="240"/>
    </row>
    <row r="124" spans="1:13" x14ac:dyDescent="0.25">
      <c r="A124" s="227" t="s">
        <v>871</v>
      </c>
      <c r="B124" s="249" t="s">
        <v>420</v>
      </c>
      <c r="C124" s="249" t="s">
        <v>872</v>
      </c>
      <c r="D124" s="240"/>
      <c r="E124" s="240"/>
      <c r="F124" s="240"/>
      <c r="G124" s="240"/>
      <c r="H124" s="240"/>
      <c r="I124" s="240"/>
      <c r="J124" s="240"/>
      <c r="K124" s="240"/>
      <c r="L124" s="240"/>
      <c r="M124" s="240"/>
    </row>
    <row r="125" spans="1:13" x14ac:dyDescent="0.25">
      <c r="A125" s="227" t="s">
        <v>873</v>
      </c>
      <c r="B125" s="249" t="s">
        <v>874</v>
      </c>
      <c r="C125" s="249" t="s">
        <v>875</v>
      </c>
      <c r="D125" s="240"/>
      <c r="E125" s="240"/>
      <c r="F125" s="240"/>
      <c r="G125" s="240"/>
      <c r="H125" s="240"/>
      <c r="I125" s="240"/>
      <c r="J125" s="240"/>
      <c r="K125" s="240"/>
      <c r="L125" s="240"/>
      <c r="M125" s="240"/>
    </row>
    <row r="126" spans="1:13" x14ac:dyDescent="0.25">
      <c r="A126" s="227" t="s">
        <v>876</v>
      </c>
      <c r="B126" s="249" t="s">
        <v>877</v>
      </c>
      <c r="C126" s="249" t="s">
        <v>878</v>
      </c>
      <c r="D126" s="240"/>
      <c r="E126" s="240"/>
      <c r="F126" s="240">
        <v>0.4</v>
      </c>
      <c r="G126" s="240"/>
      <c r="H126" s="240"/>
      <c r="I126" s="240"/>
      <c r="J126" s="240"/>
      <c r="K126" s="240"/>
      <c r="L126" s="240"/>
      <c r="M126" s="240"/>
    </row>
    <row r="127" spans="1:13" x14ac:dyDescent="0.25">
      <c r="A127" s="227" t="s">
        <v>801</v>
      </c>
      <c r="B127" s="249"/>
      <c r="C127" s="249"/>
      <c r="D127" s="240"/>
      <c r="E127" s="240"/>
      <c r="F127" s="240"/>
      <c r="G127" s="240"/>
      <c r="H127" s="240"/>
      <c r="I127" s="240"/>
      <c r="J127" s="240"/>
      <c r="K127" s="240"/>
      <c r="L127" s="240"/>
      <c r="M127" s="240"/>
    </row>
    <row r="128" spans="1:13" x14ac:dyDescent="0.25">
      <c r="A128" s="227" t="s">
        <v>885</v>
      </c>
      <c r="B128" s="249"/>
      <c r="C128" s="249"/>
      <c r="D128" s="240"/>
      <c r="E128" s="240"/>
      <c r="F128" s="240"/>
      <c r="G128" s="240"/>
      <c r="H128" s="240"/>
      <c r="I128" s="240"/>
      <c r="J128" s="240"/>
      <c r="K128" s="240"/>
      <c r="L128" s="240"/>
      <c r="M128" s="240"/>
    </row>
    <row r="129" spans="1:13" x14ac:dyDescent="0.25">
      <c r="A129" s="227" t="s">
        <v>886</v>
      </c>
      <c r="B129" s="249"/>
      <c r="C129" s="249"/>
      <c r="D129" s="240"/>
      <c r="E129" s="240"/>
      <c r="F129" s="240"/>
      <c r="G129" s="240"/>
      <c r="H129" s="240"/>
      <c r="I129" s="240"/>
      <c r="J129" s="240"/>
      <c r="K129" s="240"/>
      <c r="L129" s="240"/>
      <c r="M129" s="240"/>
    </row>
    <row r="130" spans="1:13" x14ac:dyDescent="0.25">
      <c r="A130" s="227" t="s">
        <v>887</v>
      </c>
      <c r="B130" s="249" t="s">
        <v>337</v>
      </c>
      <c r="C130" s="249" t="s">
        <v>800</v>
      </c>
      <c r="D130" s="240">
        <v>11579.6613602</v>
      </c>
      <c r="E130" s="240">
        <v>11720.382369016101</v>
      </c>
      <c r="F130" s="240">
        <v>12191.0886736874</v>
      </c>
      <c r="G130" s="240"/>
      <c r="H130" s="240"/>
      <c r="I130" s="240"/>
      <c r="J130" s="240"/>
      <c r="K130" s="240"/>
      <c r="L130" s="240"/>
      <c r="M130" s="240"/>
    </row>
    <row r="131" spans="1:13" x14ac:dyDescent="0.25">
      <c r="A131" s="227" t="s">
        <v>868</v>
      </c>
      <c r="B131" s="249" t="s">
        <v>869</v>
      </c>
      <c r="C131" s="249" t="s">
        <v>870</v>
      </c>
      <c r="D131" s="240">
        <v>22.962428610460901</v>
      </c>
      <c r="E131" s="240">
        <v>24.1312694438903</v>
      </c>
      <c r="F131" s="240">
        <v>24.343652601600901</v>
      </c>
      <c r="G131" s="240"/>
      <c r="H131" s="240"/>
      <c r="I131" s="240"/>
      <c r="J131" s="240"/>
      <c r="K131" s="240"/>
      <c r="L131" s="240"/>
      <c r="M131" s="240"/>
    </row>
    <row r="132" spans="1:13" x14ac:dyDescent="0.25">
      <c r="A132" s="227" t="s">
        <v>888</v>
      </c>
      <c r="B132" s="249" t="s">
        <v>822</v>
      </c>
      <c r="C132" s="249" t="s">
        <v>823</v>
      </c>
      <c r="D132" s="240">
        <v>12228.3101587736</v>
      </c>
      <c r="E132" s="240">
        <v>12807.234018794101</v>
      </c>
      <c r="F132" s="240">
        <v>13275.8263680771</v>
      </c>
      <c r="G132" s="240">
        <v>13870.206435707199</v>
      </c>
      <c r="H132" s="240">
        <v>14458.3529934662</v>
      </c>
      <c r="I132" s="240">
        <v>15071.5163206663</v>
      </c>
      <c r="J132" s="240">
        <v>15738.9577239957</v>
      </c>
      <c r="K132" s="240">
        <v>16386.003087208501</v>
      </c>
      <c r="L132" s="240">
        <v>17081.262190053101</v>
      </c>
      <c r="M132" s="240">
        <v>17806.112476936301</v>
      </c>
    </row>
    <row r="133" spans="1:13" x14ac:dyDescent="0.25">
      <c r="A133" s="227" t="s">
        <v>871</v>
      </c>
      <c r="B133" s="249" t="s">
        <v>420</v>
      </c>
      <c r="C133" s="249" t="s">
        <v>872</v>
      </c>
      <c r="D133" s="240">
        <v>4745.1425500654996</v>
      </c>
      <c r="E133" s="240">
        <v>4912.29311916595</v>
      </c>
      <c r="F133" s="240">
        <v>5240.6800712083495</v>
      </c>
      <c r="G133" s="240"/>
      <c r="H133" s="240"/>
      <c r="I133" s="240"/>
      <c r="J133" s="240"/>
      <c r="K133" s="240"/>
      <c r="L133" s="240"/>
      <c r="M133" s="240"/>
    </row>
    <row r="134" spans="1:13" x14ac:dyDescent="0.25">
      <c r="A134" s="227" t="s">
        <v>873</v>
      </c>
      <c r="B134" s="249" t="s">
        <v>874</v>
      </c>
      <c r="C134" s="249" t="s">
        <v>875</v>
      </c>
      <c r="D134" s="240">
        <v>4716.8980564418998</v>
      </c>
      <c r="E134" s="240">
        <v>4973.3034470495404</v>
      </c>
      <c r="F134" s="240">
        <v>5214.2295493039501</v>
      </c>
      <c r="G134" s="240">
        <v>5517.8589940797101</v>
      </c>
      <c r="H134" s="240">
        <v>5798.4761353911299</v>
      </c>
      <c r="I134" s="240">
        <v>6093.2463622002597</v>
      </c>
      <c r="J134" s="240">
        <v>6402.8787628528698</v>
      </c>
      <c r="K134" s="240">
        <v>6728.1177616658197</v>
      </c>
      <c r="L134" s="240">
        <v>7069.7448721614801</v>
      </c>
      <c r="M134" s="240">
        <v>7428.5805369829204</v>
      </c>
    </row>
    <row r="135" spans="1:13" x14ac:dyDescent="0.25">
      <c r="A135" s="227" t="s">
        <v>876</v>
      </c>
      <c r="B135" s="249" t="s">
        <v>877</v>
      </c>
      <c r="C135" s="249" t="s">
        <v>878</v>
      </c>
      <c r="D135" s="240">
        <v>39.062861379791002</v>
      </c>
      <c r="E135" s="240">
        <v>39.622807738704701</v>
      </c>
      <c r="F135" s="240">
        <v>40.473341533513199</v>
      </c>
      <c r="G135" s="240">
        <v>39.779086938011901</v>
      </c>
      <c r="H135" s="240">
        <v>40.104616413667003</v>
      </c>
      <c r="I135" s="240">
        <v>40.432152908171197</v>
      </c>
      <c r="J135" s="240">
        <v>40.685917878809803</v>
      </c>
      <c r="K135" s="240">
        <v>41.070310623176198</v>
      </c>
      <c r="L135" s="240">
        <v>41.403498012486999</v>
      </c>
      <c r="M135" s="240">
        <v>41.738768088033098</v>
      </c>
    </row>
    <row r="136" spans="1:13" x14ac:dyDescent="0.25">
      <c r="A136" s="227" t="s">
        <v>801</v>
      </c>
      <c r="B136" s="249"/>
      <c r="C136" s="249"/>
      <c r="D136" s="240"/>
      <c r="E136" s="240"/>
      <c r="F136" s="240"/>
      <c r="G136" s="240"/>
      <c r="H136" s="240"/>
      <c r="I136" s="240"/>
      <c r="J136" s="240"/>
      <c r="K136" s="240"/>
      <c r="L136" s="240"/>
      <c r="M136" s="240"/>
    </row>
    <row r="137" spans="1:13" x14ac:dyDescent="0.25">
      <c r="A137" s="227" t="s">
        <v>118</v>
      </c>
      <c r="B137" s="249"/>
      <c r="C137" s="249"/>
      <c r="D137" s="240"/>
      <c r="E137" s="240"/>
      <c r="F137" s="240"/>
      <c r="G137" s="240"/>
      <c r="H137" s="240"/>
      <c r="I137" s="240"/>
      <c r="J137" s="240"/>
      <c r="K137" s="240"/>
      <c r="L137" s="240"/>
      <c r="M137" s="240"/>
    </row>
    <row r="138" spans="1:13" x14ac:dyDescent="0.25">
      <c r="A138" s="227" t="s">
        <v>887</v>
      </c>
      <c r="B138" s="249" t="s">
        <v>337</v>
      </c>
      <c r="C138" s="249" t="s">
        <v>800</v>
      </c>
      <c r="D138" s="240">
        <v>6858.3899567435601</v>
      </c>
      <c r="E138" s="240">
        <v>7327.7212815559196</v>
      </c>
      <c r="F138" s="240">
        <v>7814.0492724099904</v>
      </c>
      <c r="G138" s="240">
        <v>8301.7422105297792</v>
      </c>
      <c r="H138" s="240">
        <v>8862.3367588472993</v>
      </c>
      <c r="I138" s="240">
        <v>9460.8197288505507</v>
      </c>
      <c r="J138" s="240">
        <v>10108.8958407359</v>
      </c>
      <c r="K138" s="240">
        <v>10778.3297492563</v>
      </c>
      <c r="L138" s="240">
        <v>11506.4485882932</v>
      </c>
      <c r="M138" s="240">
        <v>12283.7975560619</v>
      </c>
    </row>
    <row r="139" spans="1:13" x14ac:dyDescent="0.25">
      <c r="A139" s="227" t="s">
        <v>868</v>
      </c>
      <c r="B139" s="249" t="s">
        <v>869</v>
      </c>
      <c r="C139" s="249" t="s">
        <v>870</v>
      </c>
      <c r="D139" s="240">
        <v>13.9470531687305</v>
      </c>
      <c r="E139" s="240">
        <v>14.6266191483949</v>
      </c>
      <c r="F139" s="240">
        <v>14.830801717620799</v>
      </c>
      <c r="G139" s="240"/>
      <c r="H139" s="240"/>
      <c r="I139" s="240"/>
      <c r="J139" s="240"/>
      <c r="K139" s="240"/>
      <c r="L139" s="240"/>
      <c r="M139" s="240"/>
    </row>
    <row r="140" spans="1:13" x14ac:dyDescent="0.25">
      <c r="A140" s="227" t="s">
        <v>888</v>
      </c>
      <c r="B140" s="249" t="s">
        <v>822</v>
      </c>
      <c r="C140" s="249" t="s">
        <v>823</v>
      </c>
      <c r="D140" s="240">
        <v>6854.6613960490704</v>
      </c>
      <c r="E140" s="240">
        <v>7361.17528692413</v>
      </c>
      <c r="F140" s="240">
        <v>7974.1758481013203</v>
      </c>
      <c r="G140" s="240"/>
      <c r="H140" s="240"/>
      <c r="I140" s="240"/>
      <c r="J140" s="240"/>
      <c r="K140" s="240"/>
      <c r="L140" s="240"/>
      <c r="M140" s="240"/>
    </row>
    <row r="141" spans="1:13" x14ac:dyDescent="0.25">
      <c r="A141" s="227" t="s">
        <v>871</v>
      </c>
      <c r="B141" s="249" t="s">
        <v>420</v>
      </c>
      <c r="C141" s="249" t="s">
        <v>872</v>
      </c>
      <c r="D141" s="240">
        <v>4189.6080005471003</v>
      </c>
      <c r="E141" s="240">
        <v>4553.1302238633798</v>
      </c>
      <c r="F141" s="240">
        <v>4863.7204173395003</v>
      </c>
      <c r="G141" s="240"/>
      <c r="H141" s="240"/>
      <c r="I141" s="240"/>
      <c r="J141" s="240"/>
      <c r="K141" s="240"/>
      <c r="L141" s="240"/>
      <c r="M141" s="240"/>
    </row>
    <row r="142" spans="1:13" x14ac:dyDescent="0.25">
      <c r="A142" s="227" t="s">
        <v>873</v>
      </c>
      <c r="B142" s="249" t="s">
        <v>874</v>
      </c>
      <c r="C142" s="249" t="s">
        <v>875</v>
      </c>
      <c r="D142" s="240">
        <v>4161.1996635108198</v>
      </c>
      <c r="E142" s="240">
        <v>4502.3401497939503</v>
      </c>
      <c r="F142" s="240">
        <v>4859.1235254594003</v>
      </c>
      <c r="G142" s="240">
        <v>5171.6565997199104</v>
      </c>
      <c r="H142" s="240">
        <v>5531.3020149021504</v>
      </c>
      <c r="I142" s="240">
        <v>5915.9735314643904</v>
      </c>
      <c r="J142" s="240">
        <v>6327.4136791554702</v>
      </c>
      <c r="K142" s="240">
        <v>6767.4863908133802</v>
      </c>
      <c r="L142" s="240">
        <v>7238.1854655874104</v>
      </c>
      <c r="M142" s="240">
        <v>7741.64362248623</v>
      </c>
    </row>
    <row r="143" spans="1:13" x14ac:dyDescent="0.25">
      <c r="A143" s="227" t="s">
        <v>876</v>
      </c>
      <c r="B143" s="249" t="s">
        <v>877</v>
      </c>
      <c r="C143" s="249" t="s">
        <v>878</v>
      </c>
      <c r="D143" s="240">
        <v>60.8281625517807</v>
      </c>
      <c r="E143" s="240">
        <v>61.514335567293799</v>
      </c>
      <c r="F143" s="240">
        <v>61.739670820768403</v>
      </c>
      <c r="G143" s="240">
        <v>62.2694202149437</v>
      </c>
      <c r="H143" s="240">
        <v>62.390670183447099</v>
      </c>
      <c r="I143" s="240">
        <v>62.512188152580698</v>
      </c>
      <c r="J143" s="240">
        <v>62.576234630687502</v>
      </c>
      <c r="K143" s="240">
        <v>62.777165337420797</v>
      </c>
      <c r="L143" s="240">
        <v>62.898884103509602</v>
      </c>
      <c r="M143" s="240">
        <v>63.020872495368302</v>
      </c>
    </row>
    <row r="144" spans="1:13" x14ac:dyDescent="0.25">
      <c r="A144" s="227" t="s">
        <v>801</v>
      </c>
      <c r="B144" s="249"/>
      <c r="C144" s="249"/>
      <c r="D144" s="240"/>
      <c r="E144" s="240"/>
      <c r="F144" s="240"/>
      <c r="G144" s="240"/>
      <c r="H144" s="240"/>
      <c r="I144" s="240"/>
      <c r="J144" s="240"/>
      <c r="K144" s="240"/>
      <c r="L144" s="240"/>
      <c r="M144" s="240"/>
    </row>
    <row r="145" spans="1:13" x14ac:dyDescent="0.25">
      <c r="A145" s="227" t="s">
        <v>119</v>
      </c>
      <c r="B145" s="249"/>
      <c r="C145" s="249"/>
      <c r="D145" s="240"/>
      <c r="E145" s="240"/>
      <c r="F145" s="240"/>
      <c r="G145" s="240"/>
      <c r="H145" s="240"/>
      <c r="I145" s="240"/>
      <c r="J145" s="240"/>
      <c r="K145" s="240"/>
      <c r="L145" s="240"/>
      <c r="M145" s="240"/>
    </row>
    <row r="146" spans="1:13" x14ac:dyDescent="0.25">
      <c r="A146" s="227" t="s">
        <v>887</v>
      </c>
      <c r="B146" s="249" t="s">
        <v>337</v>
      </c>
      <c r="C146" s="249" t="s">
        <v>800</v>
      </c>
      <c r="D146" s="240">
        <v>20581.281164889599</v>
      </c>
      <c r="E146" s="240">
        <v>21441.1746843767</v>
      </c>
      <c r="F146" s="240">
        <v>22521.378242353199</v>
      </c>
      <c r="G146" s="240">
        <v>22984.050164251599</v>
      </c>
      <c r="H146" s="240">
        <v>23849.002700991699</v>
      </c>
      <c r="I146" s="240">
        <v>24746.4564713502</v>
      </c>
      <c r="J146" s="240">
        <v>25721.113885761199</v>
      </c>
      <c r="K146" s="240">
        <v>26624.472271154598</v>
      </c>
      <c r="L146" s="240">
        <v>27626.531795130399</v>
      </c>
      <c r="M146" s="240">
        <v>28666.248509581601</v>
      </c>
    </row>
    <row r="147" spans="1:13" x14ac:dyDescent="0.25">
      <c r="A147" s="227" t="s">
        <v>868</v>
      </c>
      <c r="B147" s="249" t="s">
        <v>869</v>
      </c>
      <c r="C147" s="249" t="s">
        <v>870</v>
      </c>
      <c r="D147" s="240">
        <v>41.821934681728997</v>
      </c>
      <c r="E147" s="240">
        <v>42.807680456948802</v>
      </c>
      <c r="F147" s="240">
        <v>42.7980804064198</v>
      </c>
      <c r="G147" s="240"/>
      <c r="H147" s="240"/>
      <c r="I147" s="240"/>
      <c r="J147" s="240"/>
      <c r="K147" s="240"/>
      <c r="L147" s="240"/>
      <c r="M147" s="240"/>
    </row>
    <row r="148" spans="1:13" x14ac:dyDescent="0.25">
      <c r="A148" s="227" t="s">
        <v>888</v>
      </c>
      <c r="B148" s="249" t="s">
        <v>822</v>
      </c>
      <c r="C148" s="249" t="s">
        <v>823</v>
      </c>
      <c r="D148" s="240">
        <v>20552.014084367798</v>
      </c>
      <c r="E148" s="240">
        <v>21420.587256781</v>
      </c>
      <c r="F148" s="240">
        <v>22437.033800669498</v>
      </c>
      <c r="G148" s="240">
        <v>24115.795042500002</v>
      </c>
      <c r="H148" s="240">
        <v>25321.584794625</v>
      </c>
      <c r="I148" s="240">
        <v>26587.664034356301</v>
      </c>
      <c r="J148" s="240">
        <v>27917.047236074101</v>
      </c>
      <c r="K148" s="240">
        <v>29312.8995978778</v>
      </c>
      <c r="L148" s="240">
        <v>30778.5445777717</v>
      </c>
      <c r="M148" s="240">
        <v>32317.4718066602</v>
      </c>
    </row>
    <row r="149" spans="1:13" x14ac:dyDescent="0.25">
      <c r="A149" s="227" t="s">
        <v>871</v>
      </c>
      <c r="B149" s="249" t="s">
        <v>420</v>
      </c>
      <c r="C149" s="249" t="s">
        <v>872</v>
      </c>
      <c r="D149" s="240">
        <v>6092.6037559576698</v>
      </c>
      <c r="E149" s="240">
        <v>6362.3602637765398</v>
      </c>
      <c r="F149" s="240">
        <v>6741.3101387480001</v>
      </c>
      <c r="G149" s="240"/>
      <c r="H149" s="240"/>
      <c r="I149" s="240"/>
      <c r="J149" s="240"/>
      <c r="K149" s="240"/>
      <c r="L149" s="240"/>
      <c r="M149" s="240"/>
    </row>
    <row r="150" spans="1:13" x14ac:dyDescent="0.25">
      <c r="A150" s="227" t="s">
        <v>873</v>
      </c>
      <c r="B150" s="249" t="s">
        <v>874</v>
      </c>
      <c r="C150" s="249" t="s">
        <v>875</v>
      </c>
      <c r="D150" s="240">
        <v>6288.1694243492002</v>
      </c>
      <c r="E150" s="240">
        <v>6670.9671577508198</v>
      </c>
      <c r="F150" s="240">
        <v>7047.7839595929299</v>
      </c>
      <c r="G150" s="240">
        <v>7469.0082112828904</v>
      </c>
      <c r="H150" s="240">
        <v>7874.1106028403201</v>
      </c>
      <c r="I150" s="240">
        <v>8301.0507130252809</v>
      </c>
      <c r="J150" s="240">
        <v>8750.9995577216396</v>
      </c>
      <c r="K150" s="240">
        <v>9225.1906601050705</v>
      </c>
      <c r="L150" s="240">
        <v>9724.9233738325402</v>
      </c>
      <c r="M150" s="240">
        <v>10251.566382282501</v>
      </c>
    </row>
    <row r="151" spans="1:13" x14ac:dyDescent="0.25">
      <c r="A151" s="227" t="s">
        <v>876</v>
      </c>
      <c r="B151" s="249" t="s">
        <v>877</v>
      </c>
      <c r="C151" s="249" t="s">
        <v>878</v>
      </c>
      <c r="D151" s="240">
        <v>30.540158802779001</v>
      </c>
      <c r="E151" s="240">
        <v>31.108787654220301</v>
      </c>
      <c r="F151" s="240">
        <v>31.358627073075802</v>
      </c>
      <c r="G151" s="240">
        <v>31.725326627010698</v>
      </c>
      <c r="H151" s="240">
        <v>32.041792403873401</v>
      </c>
      <c r="I151" s="240">
        <v>32.360572975570399</v>
      </c>
      <c r="J151" s="240">
        <v>32.6535563116162</v>
      </c>
      <c r="K151" s="240">
        <v>33.0174144465757</v>
      </c>
      <c r="L151" s="240">
        <v>33.343254247393702</v>
      </c>
      <c r="M151" s="240">
        <v>33.671521396137301</v>
      </c>
    </row>
    <row r="152" spans="1:13" x14ac:dyDescent="0.25">
      <c r="A152" s="227" t="s">
        <v>801</v>
      </c>
      <c r="B152" s="249"/>
      <c r="C152" s="249"/>
      <c r="D152" s="240"/>
      <c r="E152" s="240"/>
      <c r="F152" s="240"/>
      <c r="G152" s="240"/>
      <c r="H152" s="240"/>
      <c r="I152" s="240"/>
      <c r="J152" s="240"/>
      <c r="K152" s="240"/>
      <c r="L152" s="240"/>
      <c r="M152" s="240"/>
    </row>
    <row r="153" spans="1:13" x14ac:dyDescent="0.25">
      <c r="A153" s="227" t="s">
        <v>120</v>
      </c>
      <c r="B153" s="249"/>
      <c r="C153" s="249"/>
      <c r="D153" s="240"/>
      <c r="E153" s="240"/>
      <c r="F153" s="240"/>
      <c r="G153" s="240"/>
      <c r="H153" s="240"/>
      <c r="I153" s="240"/>
      <c r="J153" s="240"/>
      <c r="K153" s="240"/>
      <c r="L153" s="240"/>
      <c r="M153" s="240"/>
    </row>
    <row r="154" spans="1:13" x14ac:dyDescent="0.25">
      <c r="A154" s="227" t="s">
        <v>887</v>
      </c>
      <c r="B154" s="249" t="s">
        <v>337</v>
      </c>
      <c r="C154" s="249" t="s">
        <v>800</v>
      </c>
      <c r="D154" s="240">
        <v>5772.1695928333302</v>
      </c>
      <c r="E154" s="240">
        <v>5996.22833984307</v>
      </c>
      <c r="F154" s="240">
        <v>6300.7253960695098</v>
      </c>
      <c r="G154" s="240"/>
      <c r="H154" s="240"/>
      <c r="I154" s="240"/>
      <c r="J154" s="240"/>
      <c r="K154" s="240"/>
      <c r="L154" s="240"/>
      <c r="M154" s="240"/>
    </row>
    <row r="155" spans="1:13" x14ac:dyDescent="0.25">
      <c r="A155" s="227" t="s">
        <v>868</v>
      </c>
      <c r="B155" s="249" t="s">
        <v>869</v>
      </c>
      <c r="C155" s="249" t="s">
        <v>870</v>
      </c>
      <c r="D155" s="240"/>
      <c r="E155" s="240"/>
      <c r="F155" s="240"/>
      <c r="G155" s="240"/>
      <c r="H155" s="240"/>
      <c r="I155" s="240"/>
      <c r="J155" s="240"/>
      <c r="K155" s="240"/>
      <c r="L155" s="240"/>
      <c r="M155" s="240"/>
    </row>
    <row r="156" spans="1:13" x14ac:dyDescent="0.25">
      <c r="A156" s="227" t="s">
        <v>888</v>
      </c>
      <c r="B156" s="249" t="s">
        <v>822</v>
      </c>
      <c r="C156" s="249" t="s">
        <v>823</v>
      </c>
      <c r="D156" s="240">
        <v>5779.3125786582696</v>
      </c>
      <c r="E156" s="240">
        <v>6053.5421740225102</v>
      </c>
      <c r="F156" s="240">
        <v>6267.5137936456504</v>
      </c>
      <c r="G156" s="240">
        <v>6793.3604104182205</v>
      </c>
      <c r="H156" s="240">
        <v>7164.8467036817801</v>
      </c>
      <c r="I156" s="240">
        <v>7556.6365719758696</v>
      </c>
      <c r="J156" s="240">
        <v>7994.7230445641299</v>
      </c>
      <c r="K156" s="240">
        <v>8421.0041947270602</v>
      </c>
      <c r="L156" s="240">
        <v>8881.5204287853594</v>
      </c>
      <c r="M156" s="240">
        <v>9367.2075709409892</v>
      </c>
    </row>
    <row r="157" spans="1:13" x14ac:dyDescent="0.25">
      <c r="A157" s="227" t="s">
        <v>871</v>
      </c>
      <c r="B157" s="249" t="s">
        <v>420</v>
      </c>
      <c r="C157" s="249" t="s">
        <v>872</v>
      </c>
      <c r="D157" s="240">
        <v>2041.4647605862899</v>
      </c>
      <c r="E157" s="240">
        <v>2261.3036293021401</v>
      </c>
      <c r="F157" s="240">
        <v>2437.1684720500598</v>
      </c>
      <c r="G157" s="240"/>
      <c r="H157" s="240"/>
      <c r="I157" s="240"/>
      <c r="J157" s="240"/>
      <c r="K157" s="240"/>
      <c r="L157" s="240"/>
      <c r="M157" s="240"/>
    </row>
    <row r="158" spans="1:13" x14ac:dyDescent="0.25">
      <c r="A158" s="227" t="s">
        <v>873</v>
      </c>
      <c r="B158" s="249" t="s">
        <v>874</v>
      </c>
      <c r="C158" s="249" t="s">
        <v>875</v>
      </c>
      <c r="D158" s="240">
        <v>2000.15563424384</v>
      </c>
      <c r="E158" s="240">
        <v>2175.18526135198</v>
      </c>
      <c r="F158" s="240">
        <v>2268.2755625780201</v>
      </c>
      <c r="G158" s="240">
        <v>2481.9877400156602</v>
      </c>
      <c r="H158" s="240">
        <v>2646.2770600942299</v>
      </c>
      <c r="I158" s="240">
        <v>2821.19845307589</v>
      </c>
      <c r="J158" s="240">
        <v>3007.4287380747301</v>
      </c>
      <c r="K158" s="240">
        <v>3205.6872889298802</v>
      </c>
      <c r="L158" s="240">
        <v>3416.7386845125998</v>
      </c>
      <c r="M158" s="240">
        <v>3641.3955228807299</v>
      </c>
    </row>
    <row r="159" spans="1:13" x14ac:dyDescent="0.25">
      <c r="A159" s="227" t="s">
        <v>876</v>
      </c>
      <c r="B159" s="249" t="s">
        <v>877</v>
      </c>
      <c r="C159" s="249" t="s">
        <v>878</v>
      </c>
      <c r="D159" s="240">
        <v>34.625502760572601</v>
      </c>
      <c r="E159" s="240">
        <v>36.098220972043201</v>
      </c>
      <c r="F159" s="240">
        <v>36.414742967201398</v>
      </c>
      <c r="G159" s="240">
        <v>36.567117703677901</v>
      </c>
      <c r="H159" s="240">
        <v>36.961513852158703</v>
      </c>
      <c r="I159" s="240">
        <v>37.3570874783466</v>
      </c>
      <c r="J159" s="240">
        <v>37.630021542307503</v>
      </c>
      <c r="K159" s="240">
        <v>38.078457385678902</v>
      </c>
      <c r="L159" s="240">
        <v>38.476692772078003</v>
      </c>
      <c r="M159" s="240">
        <v>38.876135635202601</v>
      </c>
    </row>
    <row r="160" spans="1:13" x14ac:dyDescent="0.25">
      <c r="A160" s="227" t="s">
        <v>801</v>
      </c>
      <c r="B160" s="249"/>
      <c r="C160" s="249"/>
      <c r="D160" s="240"/>
      <c r="E160" s="240"/>
      <c r="F160" s="240"/>
      <c r="G160" s="240"/>
      <c r="H160" s="240"/>
      <c r="I160" s="240"/>
      <c r="J160" s="240"/>
      <c r="K160" s="240"/>
      <c r="L160" s="240"/>
      <c r="M160" s="240"/>
    </row>
    <row r="161" spans="1:13" x14ac:dyDescent="0.25">
      <c r="A161" s="227" t="s">
        <v>889</v>
      </c>
      <c r="B161" s="249"/>
      <c r="C161" s="249"/>
      <c r="D161" s="240"/>
      <c r="E161" s="240"/>
      <c r="F161" s="240"/>
      <c r="G161" s="240"/>
      <c r="H161" s="240"/>
      <c r="I161" s="240"/>
      <c r="J161" s="240"/>
      <c r="K161" s="240"/>
      <c r="L161" s="240"/>
      <c r="M161" s="240"/>
    </row>
    <row r="162" spans="1:13" x14ac:dyDescent="0.25">
      <c r="A162" s="227" t="s">
        <v>890</v>
      </c>
      <c r="B162" s="249" t="s">
        <v>337</v>
      </c>
      <c r="C162" s="249" t="s">
        <v>800</v>
      </c>
      <c r="D162" s="240"/>
      <c r="E162" s="240"/>
      <c r="F162" s="240"/>
      <c r="G162" s="240"/>
      <c r="H162" s="240"/>
      <c r="I162" s="240"/>
      <c r="J162" s="240"/>
      <c r="K162" s="240"/>
      <c r="L162" s="240"/>
      <c r="M162" s="240"/>
    </row>
    <row r="163" spans="1:13" x14ac:dyDescent="0.25">
      <c r="A163" s="227" t="s">
        <v>891</v>
      </c>
      <c r="B163" s="249" t="s">
        <v>337</v>
      </c>
      <c r="C163" s="249" t="s">
        <v>800</v>
      </c>
      <c r="D163" s="240"/>
      <c r="E163" s="240"/>
      <c r="F163" s="240"/>
      <c r="G163" s="240"/>
      <c r="H163" s="240"/>
      <c r="I163" s="240"/>
      <c r="J163" s="240"/>
      <c r="K163" s="240"/>
      <c r="L163" s="240"/>
      <c r="M163" s="240"/>
    </row>
    <row r="164" spans="1:13" x14ac:dyDescent="0.25">
      <c r="A164" s="227" t="s">
        <v>892</v>
      </c>
      <c r="B164" s="249" t="s">
        <v>337</v>
      </c>
      <c r="C164" s="249" t="s">
        <v>800</v>
      </c>
      <c r="D164" s="240"/>
      <c r="E164" s="240"/>
      <c r="F164" s="240"/>
      <c r="G164" s="240"/>
      <c r="H164" s="240"/>
      <c r="I164" s="240"/>
      <c r="J164" s="240"/>
      <c r="K164" s="240"/>
      <c r="L164" s="240"/>
      <c r="M164" s="240"/>
    </row>
    <row r="165" spans="1:13" x14ac:dyDescent="0.25">
      <c r="A165" s="227" t="s">
        <v>801</v>
      </c>
      <c r="B165" s="249"/>
      <c r="C165" s="249"/>
      <c r="D165" s="240"/>
      <c r="E165" s="240"/>
      <c r="F165" s="240"/>
      <c r="G165" s="240"/>
      <c r="H165" s="240"/>
      <c r="I165" s="240"/>
      <c r="J165" s="240"/>
      <c r="K165" s="240"/>
      <c r="L165" s="240"/>
      <c r="M165" s="240"/>
    </row>
    <row r="166" spans="1:13" x14ac:dyDescent="0.25">
      <c r="A166" s="227" t="s">
        <v>893</v>
      </c>
      <c r="B166" s="249" t="s">
        <v>337</v>
      </c>
      <c r="C166" s="249" t="s">
        <v>800</v>
      </c>
      <c r="D166" s="240"/>
      <c r="E166" s="240"/>
      <c r="F166" s="240"/>
      <c r="G166" s="240"/>
      <c r="H166" s="240"/>
      <c r="I166" s="240"/>
      <c r="J166" s="240"/>
      <c r="K166" s="240"/>
      <c r="L166" s="240"/>
      <c r="M166" s="240"/>
    </row>
    <row r="167" spans="1:13" x14ac:dyDescent="0.25">
      <c r="A167" s="227" t="s">
        <v>891</v>
      </c>
      <c r="B167" s="249" t="s">
        <v>337</v>
      </c>
      <c r="C167" s="249" t="s">
        <v>800</v>
      </c>
      <c r="D167" s="240"/>
      <c r="E167" s="240"/>
      <c r="F167" s="240"/>
      <c r="G167" s="240"/>
      <c r="H167" s="240"/>
      <c r="I167" s="240"/>
      <c r="J167" s="240"/>
      <c r="K167" s="240"/>
      <c r="L167" s="240"/>
      <c r="M167" s="240"/>
    </row>
    <row r="168" spans="1:13" x14ac:dyDescent="0.25">
      <c r="A168" s="227" t="s">
        <v>892</v>
      </c>
      <c r="B168" s="249" t="s">
        <v>337</v>
      </c>
      <c r="C168" s="249" t="s">
        <v>800</v>
      </c>
      <c r="D168" s="240"/>
      <c r="E168" s="240"/>
      <c r="F168" s="240"/>
      <c r="G168" s="240"/>
      <c r="H168" s="240"/>
      <c r="I168" s="240"/>
      <c r="J168" s="240"/>
      <c r="K168" s="240"/>
      <c r="L168" s="240"/>
      <c r="M168" s="240"/>
    </row>
    <row r="169" spans="1:13" x14ac:dyDescent="0.25">
      <c r="A169" s="227" t="s">
        <v>801</v>
      </c>
      <c r="B169" s="249"/>
      <c r="C169" s="249"/>
      <c r="D169" s="240"/>
      <c r="E169" s="240"/>
      <c r="F169" s="240"/>
      <c r="G169" s="240"/>
      <c r="H169" s="240"/>
      <c r="I169" s="240"/>
      <c r="J169" s="240"/>
      <c r="K169" s="240"/>
      <c r="L169" s="240"/>
      <c r="M169" s="240"/>
    </row>
    <row r="170" spans="1:13" x14ac:dyDescent="0.25">
      <c r="A170" s="227" t="s">
        <v>894</v>
      </c>
      <c r="B170" s="249"/>
      <c r="C170" s="249"/>
      <c r="D170" s="240"/>
      <c r="E170" s="240"/>
      <c r="F170" s="240"/>
      <c r="G170" s="240"/>
      <c r="H170" s="240"/>
      <c r="I170" s="240"/>
      <c r="J170" s="240"/>
      <c r="K170" s="240"/>
      <c r="L170" s="240"/>
      <c r="M170" s="240"/>
    </row>
    <row r="171" spans="1:13" x14ac:dyDescent="0.25">
      <c r="A171" s="227" t="s">
        <v>796</v>
      </c>
      <c r="B171" s="249" t="s">
        <v>797</v>
      </c>
      <c r="C171" s="249" t="s">
        <v>798</v>
      </c>
      <c r="D171" s="240">
        <v>49085.5</v>
      </c>
      <c r="E171" s="240">
        <v>49992.636363636397</v>
      </c>
      <c r="F171" s="240">
        <v>52572</v>
      </c>
      <c r="G171" s="240">
        <v>55061</v>
      </c>
      <c r="H171" s="240">
        <v>57724.25</v>
      </c>
      <c r="I171" s="240">
        <v>60486.5</v>
      </c>
      <c r="J171" s="240">
        <v>63401</v>
      </c>
      <c r="K171" s="240">
        <v>66377.25</v>
      </c>
      <c r="L171" s="240">
        <v>69878.666666666701</v>
      </c>
      <c r="M171" s="240">
        <v>73289.666666666701</v>
      </c>
    </row>
    <row r="172" spans="1:13" x14ac:dyDescent="0.25">
      <c r="A172" s="227" t="s">
        <v>801</v>
      </c>
      <c r="B172" s="249"/>
      <c r="C172" s="249"/>
      <c r="D172" s="240"/>
      <c r="E172" s="240"/>
      <c r="F172" s="240"/>
      <c r="G172" s="240"/>
      <c r="H172" s="240"/>
      <c r="I172" s="240"/>
      <c r="J172" s="240"/>
      <c r="K172" s="240"/>
      <c r="L172" s="240"/>
      <c r="M172" s="240"/>
    </row>
    <row r="173" spans="1:13" x14ac:dyDescent="0.25">
      <c r="A173" s="227" t="s">
        <v>895</v>
      </c>
      <c r="B173" s="249" t="s">
        <v>896</v>
      </c>
      <c r="C173" s="249" t="s">
        <v>897</v>
      </c>
      <c r="D173" s="240">
        <v>18602.9730018558</v>
      </c>
      <c r="E173" s="240">
        <v>18420.7957941073</v>
      </c>
      <c r="F173" s="240">
        <v>19001.346113114701</v>
      </c>
      <c r="G173" s="240">
        <v>19960.707013566702</v>
      </c>
      <c r="H173" s="240">
        <v>20719.7483384425</v>
      </c>
      <c r="I173" s="240">
        <v>21508.6890720146</v>
      </c>
      <c r="J173" s="240">
        <v>22369.5526345996</v>
      </c>
      <c r="K173" s="240">
        <v>23169.789971987899</v>
      </c>
      <c r="L173" s="240">
        <v>24055.809124573101</v>
      </c>
      <c r="M173" s="240">
        <v>24976.944882678901</v>
      </c>
    </row>
    <row r="174" spans="1:13" x14ac:dyDescent="0.25">
      <c r="A174" s="227" t="s">
        <v>898</v>
      </c>
      <c r="B174" s="249" t="s">
        <v>899</v>
      </c>
      <c r="C174" s="249" t="s">
        <v>900</v>
      </c>
      <c r="D174" s="240">
        <v>37.903040434340802</v>
      </c>
      <c r="E174" s="240">
        <v>36.960487589080998</v>
      </c>
      <c r="F174" s="240">
        <v>36.563468086051202</v>
      </c>
      <c r="G174" s="240"/>
      <c r="H174" s="240"/>
      <c r="I174" s="240"/>
      <c r="J174" s="240"/>
      <c r="K174" s="240"/>
      <c r="L174" s="240"/>
      <c r="M174" s="240"/>
    </row>
    <row r="175" spans="1:13" x14ac:dyDescent="0.25">
      <c r="A175" s="227" t="s">
        <v>901</v>
      </c>
      <c r="B175" s="249" t="s">
        <v>902</v>
      </c>
      <c r="C175" s="249" t="s">
        <v>903</v>
      </c>
      <c r="D175" s="240">
        <v>30414.261634124301</v>
      </c>
      <c r="E175" s="240">
        <v>31293.254753063698</v>
      </c>
      <c r="F175" s="240">
        <v>32875.102720684699</v>
      </c>
      <c r="G175" s="240">
        <v>34537.385263870601</v>
      </c>
      <c r="H175" s="240">
        <v>36296.146201175703</v>
      </c>
      <c r="I175" s="240">
        <v>37984.400688314898</v>
      </c>
      <c r="J175" s="240">
        <v>39984.636187394899</v>
      </c>
      <c r="K175" s="240">
        <v>41976.153818830098</v>
      </c>
      <c r="L175" s="240">
        <v>44122.943114178299</v>
      </c>
      <c r="M175" s="240">
        <v>46382.888455153603</v>
      </c>
    </row>
    <row r="176" spans="1:13" x14ac:dyDescent="0.25">
      <c r="A176" s="227" t="s">
        <v>904</v>
      </c>
      <c r="B176" s="249" t="s">
        <v>832</v>
      </c>
      <c r="C176" s="249" t="s">
        <v>833</v>
      </c>
      <c r="D176" s="240">
        <v>62.070870884319802</v>
      </c>
      <c r="E176" s="240">
        <v>62.810797235332203</v>
      </c>
      <c r="F176" s="240">
        <v>63.205138915727801</v>
      </c>
      <c r="G176" s="240">
        <v>62.122064046419503</v>
      </c>
      <c r="H176" s="240">
        <v>62.244621339583396</v>
      </c>
      <c r="I176" s="240">
        <v>62.367178762035202</v>
      </c>
      <c r="J176" s="240">
        <v>62.505572819676303</v>
      </c>
      <c r="K176" s="240">
        <v>62.627162022751499</v>
      </c>
      <c r="L176" s="240">
        <v>62.749717053524797</v>
      </c>
      <c r="M176" s="240">
        <v>62.872272109472704</v>
      </c>
    </row>
    <row r="177" spans="1:13" x14ac:dyDescent="0.25">
      <c r="A177" s="227" t="s">
        <v>801</v>
      </c>
      <c r="B177" s="249"/>
      <c r="C177" s="249"/>
      <c r="D177" s="240"/>
      <c r="E177" s="240"/>
      <c r="F177" s="240"/>
      <c r="G177" s="240"/>
      <c r="H177" s="240"/>
      <c r="I177" s="240"/>
      <c r="J177" s="240"/>
      <c r="K177" s="240"/>
      <c r="L177" s="240"/>
      <c r="M177" s="240"/>
    </row>
    <row r="178" spans="1:13" x14ac:dyDescent="0.25">
      <c r="A178" s="227" t="s">
        <v>905</v>
      </c>
      <c r="B178" s="249" t="s">
        <v>906</v>
      </c>
      <c r="C178" s="249" t="s">
        <v>907</v>
      </c>
      <c r="D178" s="240">
        <v>13743.6833851048</v>
      </c>
      <c r="E178" s="240">
        <v>13609.087807268699</v>
      </c>
      <c r="F178" s="240">
        <v>13292.5100363159</v>
      </c>
      <c r="G178" s="240">
        <v>15829.6680521586</v>
      </c>
      <c r="H178" s="240">
        <v>16365.5419154709</v>
      </c>
      <c r="I178" s="240">
        <v>16914.9071721892</v>
      </c>
      <c r="J178" s="240">
        <v>17477.703799469899</v>
      </c>
      <c r="K178" s="240">
        <v>18053.825395736501</v>
      </c>
      <c r="L178" s="240">
        <v>18643.114123930602</v>
      </c>
      <c r="M178" s="240">
        <v>19245.3552188096</v>
      </c>
    </row>
    <row r="179" spans="1:13" x14ac:dyDescent="0.25">
      <c r="A179" s="227" t="s">
        <v>908</v>
      </c>
      <c r="B179" s="249" t="s">
        <v>909</v>
      </c>
      <c r="C179" s="249" t="s">
        <v>910</v>
      </c>
      <c r="D179" s="240">
        <v>29.422756943496701</v>
      </c>
      <c r="E179" s="240">
        <v>28.6116059648934</v>
      </c>
      <c r="F179" s="240">
        <v>28.348515688992698</v>
      </c>
      <c r="G179" s="240">
        <v>28.032817117959802</v>
      </c>
      <c r="H179" s="240">
        <v>27.532817117959802</v>
      </c>
      <c r="I179" s="240">
        <v>27.032817117959802</v>
      </c>
      <c r="J179" s="240">
        <v>26.532817117959802</v>
      </c>
      <c r="K179" s="240">
        <v>26.032817117959802</v>
      </c>
      <c r="L179" s="240">
        <v>25.532817117959802</v>
      </c>
      <c r="M179" s="240">
        <v>25.032817117959802</v>
      </c>
    </row>
    <row r="180" spans="1:13" x14ac:dyDescent="0.25">
      <c r="A180" s="227" t="s">
        <v>801</v>
      </c>
      <c r="B180" s="249"/>
      <c r="C180" s="249"/>
      <c r="D180" s="240"/>
      <c r="E180" s="240"/>
      <c r="F180" s="240"/>
      <c r="G180" s="240"/>
      <c r="H180" s="240"/>
      <c r="I180" s="240"/>
      <c r="J180" s="240"/>
      <c r="K180" s="240"/>
      <c r="L180" s="240"/>
      <c r="M180" s="240"/>
    </row>
    <row r="181" spans="1:13" x14ac:dyDescent="0.25">
      <c r="A181" s="227" t="s">
        <v>834</v>
      </c>
      <c r="B181" s="249" t="s">
        <v>835</v>
      </c>
      <c r="C181" s="249" t="s">
        <v>836</v>
      </c>
      <c r="D181" s="240">
        <v>16000.8421052632</v>
      </c>
      <c r="E181" s="240">
        <v>16980.315789473701</v>
      </c>
      <c r="F181" s="240">
        <v>18079.714285714301</v>
      </c>
      <c r="G181" s="240">
        <v>19069</v>
      </c>
      <c r="H181" s="240">
        <v>20205.25</v>
      </c>
      <c r="I181" s="240">
        <v>21678</v>
      </c>
      <c r="J181" s="240">
        <v>22926.666666666701</v>
      </c>
      <c r="K181" s="240">
        <v>24247.666666666701</v>
      </c>
      <c r="L181" s="240">
        <v>26230</v>
      </c>
      <c r="M181" s="240">
        <v>27835.5</v>
      </c>
    </row>
    <row r="182" spans="1:13" x14ac:dyDescent="0.25">
      <c r="A182" s="227" t="s">
        <v>911</v>
      </c>
      <c r="B182" s="249" t="s">
        <v>912</v>
      </c>
      <c r="C182" s="249" t="s">
        <v>913</v>
      </c>
      <c r="D182" s="240">
        <v>32.565704657412098</v>
      </c>
      <c r="E182" s="240">
        <v>34.068598391750101</v>
      </c>
      <c r="F182" s="240">
        <v>34.643303382706499</v>
      </c>
      <c r="G182" s="240">
        <v>34.550304610155301</v>
      </c>
      <c r="H182" s="240">
        <v>34.795443115127902</v>
      </c>
      <c r="I182" s="240">
        <v>35.655257671155901</v>
      </c>
      <c r="J182" s="240">
        <v>35.850980256552901</v>
      </c>
      <c r="K182" s="240">
        <v>36.110414527673399</v>
      </c>
      <c r="L182" s="240">
        <v>36.3415169324754</v>
      </c>
      <c r="M182" s="240">
        <v>36.573702216525298</v>
      </c>
    </row>
    <row r="183" spans="1:13" x14ac:dyDescent="0.25">
      <c r="A183" s="227" t="s">
        <v>801</v>
      </c>
      <c r="B183" s="249"/>
      <c r="C183" s="249"/>
      <c r="D183" s="240"/>
      <c r="E183" s="240"/>
      <c r="F183" s="240"/>
      <c r="G183" s="240"/>
      <c r="H183" s="240"/>
      <c r="I183" s="240"/>
      <c r="J183" s="240"/>
      <c r="K183" s="240"/>
      <c r="L183" s="240"/>
      <c r="M183" s="240"/>
    </row>
    <row r="184" spans="1:13" x14ac:dyDescent="0.25">
      <c r="A184" s="227" t="s">
        <v>914</v>
      </c>
      <c r="B184" s="249" t="s">
        <v>693</v>
      </c>
      <c r="C184" s="249" t="s">
        <v>915</v>
      </c>
      <c r="D184" s="240">
        <v>1109.3889447853601</v>
      </c>
      <c r="E184" s="240">
        <v>1202.9149074174099</v>
      </c>
      <c r="F184" s="240">
        <v>1275.04072834978</v>
      </c>
      <c r="G184" s="240">
        <v>1686.4494743540799</v>
      </c>
      <c r="H184" s="240">
        <v>1766.9138111545201</v>
      </c>
      <c r="I184" s="240">
        <v>1851.3869778579499</v>
      </c>
      <c r="J184" s="240">
        <v>1943.4361867799701</v>
      </c>
      <c r="K184" s="240">
        <v>2033.6449739095599</v>
      </c>
      <c r="L184" s="240">
        <v>2131.4856497126402</v>
      </c>
      <c r="M184" s="240">
        <v>2234.2439775184898</v>
      </c>
    </row>
    <row r="185" spans="1:13" x14ac:dyDescent="0.25">
      <c r="A185" s="227" t="s">
        <v>916</v>
      </c>
      <c r="B185" s="249" t="s">
        <v>917</v>
      </c>
      <c r="C185" s="249" t="s">
        <v>918</v>
      </c>
      <c r="D185" s="240">
        <v>2.3246103200435</v>
      </c>
      <c r="E185" s="240">
        <v>2.5008072712089402</v>
      </c>
      <c r="F185" s="240">
        <v>2.5088867648223201</v>
      </c>
      <c r="G185" s="240">
        <v>2.8431598882535001</v>
      </c>
      <c r="H185" s="240">
        <v>2.8764932215868302</v>
      </c>
      <c r="I185" s="240">
        <v>2.8764932215868302</v>
      </c>
      <c r="J185" s="240">
        <v>2.8764932215868302</v>
      </c>
      <c r="K185" s="240">
        <v>2.8764932215868302</v>
      </c>
      <c r="L185" s="240">
        <v>2.8764932215868302</v>
      </c>
      <c r="M185" s="240">
        <v>2.8764932215868302</v>
      </c>
    </row>
    <row r="186" spans="1:13" x14ac:dyDescent="0.25">
      <c r="A186" s="227" t="s">
        <v>919</v>
      </c>
      <c r="B186" s="249" t="s">
        <v>920</v>
      </c>
      <c r="C186" s="249" t="s">
        <v>921</v>
      </c>
      <c r="D186" s="240">
        <v>97.273268007548495</v>
      </c>
      <c r="E186" s="240">
        <v>96.810375399293605</v>
      </c>
      <c r="F186" s="240">
        <v>92</v>
      </c>
      <c r="G186" s="240">
        <v>91</v>
      </c>
      <c r="H186" s="240">
        <v>90</v>
      </c>
      <c r="I186" s="240"/>
      <c r="J186" s="240"/>
      <c r="K186" s="240"/>
      <c r="L186" s="240"/>
      <c r="M186" s="240"/>
    </row>
    <row r="187" spans="1:13" x14ac:dyDescent="0.25">
      <c r="A187" s="227" t="s">
        <v>922</v>
      </c>
      <c r="B187" s="249" t="s">
        <v>923</v>
      </c>
      <c r="C187" s="249" t="s">
        <v>924</v>
      </c>
      <c r="D187" s="240">
        <v>17215.470588235301</v>
      </c>
      <c r="E187" s="240">
        <v>18248.588235294101</v>
      </c>
      <c r="F187" s="240">
        <v>19415.692307692301</v>
      </c>
      <c r="G187" s="240">
        <v>20577.8</v>
      </c>
      <c r="H187" s="240">
        <v>21762.2</v>
      </c>
      <c r="I187" s="240">
        <v>23085.75</v>
      </c>
      <c r="J187" s="240">
        <v>24330.5</v>
      </c>
      <c r="K187" s="240">
        <v>25640.25</v>
      </c>
      <c r="L187" s="240">
        <v>27389</v>
      </c>
      <c r="M187" s="240">
        <v>28896</v>
      </c>
    </row>
    <row r="188" spans="1:13" x14ac:dyDescent="0.25">
      <c r="A188" s="227" t="s">
        <v>801</v>
      </c>
      <c r="B188" s="249"/>
      <c r="C188" s="249"/>
      <c r="D188" s="240"/>
      <c r="E188" s="240"/>
      <c r="F188" s="240"/>
      <c r="G188" s="240"/>
      <c r="H188" s="240"/>
      <c r="I188" s="240"/>
      <c r="J188" s="240"/>
      <c r="K188" s="240"/>
      <c r="L188" s="240"/>
      <c r="M188" s="240"/>
    </row>
    <row r="189" spans="1:13" x14ac:dyDescent="0.25">
      <c r="A189" s="227" t="s">
        <v>925</v>
      </c>
      <c r="B189" s="249" t="s">
        <v>926</v>
      </c>
      <c r="C189" s="249" t="s">
        <v>927</v>
      </c>
      <c r="D189" s="240">
        <v>1545.26631198416</v>
      </c>
      <c r="E189" s="240">
        <v>1504.7595318240201</v>
      </c>
      <c r="F189" s="240">
        <v>1577.14453923466</v>
      </c>
      <c r="G189" s="240">
        <v>1580.04</v>
      </c>
      <c r="H189" s="240">
        <v>1580.04</v>
      </c>
      <c r="I189" s="240">
        <v>1580.04</v>
      </c>
      <c r="J189" s="240">
        <v>1580.04</v>
      </c>
      <c r="K189" s="240">
        <v>1580.04</v>
      </c>
      <c r="L189" s="240">
        <v>1580.04</v>
      </c>
      <c r="M189" s="240">
        <v>1580.04</v>
      </c>
    </row>
    <row r="190" spans="1:13" x14ac:dyDescent="0.25">
      <c r="A190" s="227" t="s">
        <v>928</v>
      </c>
      <c r="B190" s="249" t="s">
        <v>428</v>
      </c>
      <c r="C190" s="249" t="s">
        <v>929</v>
      </c>
      <c r="D190" s="240">
        <v>823.14208945923497</v>
      </c>
      <c r="E190" s="240">
        <v>826.535396689599</v>
      </c>
      <c r="F190" s="240">
        <v>868.46095784787201</v>
      </c>
      <c r="G190" s="240">
        <v>898.70540248121097</v>
      </c>
      <c r="H190" s="240">
        <v>1009.37355894307</v>
      </c>
      <c r="I190" s="240">
        <v>1135.86126677273</v>
      </c>
      <c r="J190" s="240">
        <v>1277.0808926350301</v>
      </c>
      <c r="K190" s="240">
        <v>1434.42906265897</v>
      </c>
      <c r="L190" s="240">
        <v>1609.5015375962701</v>
      </c>
      <c r="M190" s="240">
        <v>1803.6659537456601</v>
      </c>
    </row>
    <row r="191" spans="1:13" x14ac:dyDescent="0.25">
      <c r="A191" s="227" t="s">
        <v>930</v>
      </c>
      <c r="B191" s="249" t="s">
        <v>931</v>
      </c>
      <c r="C191" s="249" t="s">
        <v>932</v>
      </c>
      <c r="D191" s="240">
        <v>-2118.6435000654301</v>
      </c>
      <c r="E191" s="240">
        <v>-2237.5762111225199</v>
      </c>
      <c r="F191" s="240">
        <v>-2357.83251924765</v>
      </c>
      <c r="G191" s="240">
        <v>-2532.7263937500002</v>
      </c>
      <c r="H191" s="240">
        <v>-2659.3627134375001</v>
      </c>
      <c r="I191" s="240">
        <v>-2792.3308491093799</v>
      </c>
      <c r="J191" s="240">
        <v>-2931.94739156484</v>
      </c>
      <c r="K191" s="240">
        <v>-3078.54476114309</v>
      </c>
      <c r="L191" s="240">
        <v>-3232.4719992002401</v>
      </c>
      <c r="M191" s="240">
        <v>-3394.09559916025</v>
      </c>
    </row>
    <row r="192" spans="1:13" x14ac:dyDescent="0.25">
      <c r="A192" s="227" t="s">
        <v>933</v>
      </c>
      <c r="B192" s="249" t="s">
        <v>934</v>
      </c>
      <c r="C192" s="249" t="s">
        <v>935</v>
      </c>
      <c r="D192" s="240">
        <v>251.70620989171101</v>
      </c>
      <c r="E192" s="240">
        <v>222.864089933028</v>
      </c>
      <c r="F192" s="240">
        <v>221.712285714286</v>
      </c>
      <c r="G192" s="240">
        <v>140</v>
      </c>
      <c r="H192" s="240">
        <v>140</v>
      </c>
      <c r="I192" s="240">
        <v>140</v>
      </c>
      <c r="J192" s="240">
        <v>140</v>
      </c>
      <c r="K192" s="240">
        <v>140</v>
      </c>
      <c r="L192" s="240">
        <v>140</v>
      </c>
      <c r="M192" s="240">
        <v>140</v>
      </c>
    </row>
    <row r="193" spans="1:13" x14ac:dyDescent="0.25">
      <c r="A193" s="227" t="s">
        <v>936</v>
      </c>
      <c r="B193" s="249" t="s">
        <v>937</v>
      </c>
      <c r="C193" s="249" t="s">
        <v>938</v>
      </c>
      <c r="D193" s="240">
        <v>17674</v>
      </c>
      <c r="E193" s="240">
        <v>18870</v>
      </c>
      <c r="F193" s="240">
        <v>20147.416666666701</v>
      </c>
      <c r="G193" s="240">
        <v>21473</v>
      </c>
      <c r="H193" s="240">
        <v>22876</v>
      </c>
      <c r="I193" s="240">
        <v>24371.5</v>
      </c>
      <c r="J193" s="240">
        <v>25964</v>
      </c>
      <c r="K193" s="240">
        <v>27659</v>
      </c>
      <c r="L193" s="240">
        <v>29464.5</v>
      </c>
      <c r="M193" s="240">
        <v>31386.5</v>
      </c>
    </row>
    <row r="194" spans="1:13" x14ac:dyDescent="0.25">
      <c r="A194" s="227" t="s">
        <v>939</v>
      </c>
      <c r="B194" s="249" t="s">
        <v>940</v>
      </c>
      <c r="C194" s="249" t="s">
        <v>941</v>
      </c>
      <c r="D194" s="240">
        <v>35.8810737524716</v>
      </c>
      <c r="E194" s="240">
        <v>37.870038684915002</v>
      </c>
      <c r="F194" s="240">
        <v>38.5257672804916</v>
      </c>
      <c r="G194" s="240">
        <v>38.798428828684102</v>
      </c>
      <c r="H194" s="240">
        <v>39.412197958036003</v>
      </c>
      <c r="I194" s="240">
        <v>40.034899155679298</v>
      </c>
      <c r="J194" s="240">
        <v>40.605249630169297</v>
      </c>
      <c r="K194" s="240">
        <v>41.287645859398197</v>
      </c>
      <c r="L194" s="240">
        <v>41.925057270393502</v>
      </c>
      <c r="M194" s="240">
        <v>42.567631525065998</v>
      </c>
    </row>
    <row r="195" spans="1:13" x14ac:dyDescent="0.25">
      <c r="A195" s="227" t="s">
        <v>801</v>
      </c>
      <c r="B195" s="249"/>
      <c r="C195" s="249"/>
      <c r="D195" s="240"/>
      <c r="E195" s="240"/>
      <c r="F195" s="240"/>
      <c r="G195" s="240"/>
      <c r="H195" s="240"/>
      <c r="I195" s="240"/>
      <c r="J195" s="240"/>
      <c r="K195" s="240"/>
      <c r="L195" s="240"/>
      <c r="M195" s="240"/>
    </row>
    <row r="196" spans="1:13" x14ac:dyDescent="0.25">
      <c r="A196" s="227" t="s">
        <v>942</v>
      </c>
      <c r="B196" s="249" t="s">
        <v>943</v>
      </c>
      <c r="C196" s="249" t="s">
        <v>944</v>
      </c>
      <c r="D196" s="240">
        <v>3525.6194995168999</v>
      </c>
      <c r="E196" s="240">
        <v>3804.0958714346998</v>
      </c>
      <c r="F196" s="240">
        <v>4047.71683007715</v>
      </c>
      <c r="G196" s="240">
        <v>4393.1141579189798</v>
      </c>
      <c r="H196" s="240">
        <v>4679.73480739553</v>
      </c>
      <c r="I196" s="240">
        <v>4985.3769788239697</v>
      </c>
      <c r="J196" s="240">
        <v>5310.7640817834299</v>
      </c>
      <c r="K196" s="240">
        <v>5657.19705543486</v>
      </c>
      <c r="L196" s="240">
        <v>6026.08040599182</v>
      </c>
      <c r="M196" s="240">
        <v>6418.8367671862698</v>
      </c>
    </row>
    <row r="197" spans="1:13" x14ac:dyDescent="0.25">
      <c r="A197" s="227" t="s">
        <v>945</v>
      </c>
      <c r="B197" s="249" t="s">
        <v>946</v>
      </c>
      <c r="C197" s="249" t="s">
        <v>947</v>
      </c>
      <c r="D197" s="240">
        <v>19.908237564630902</v>
      </c>
      <c r="E197" s="240">
        <v>20.0978269324259</v>
      </c>
      <c r="F197" s="240">
        <v>20.1741310160428</v>
      </c>
      <c r="G197" s="240">
        <v>20.45</v>
      </c>
      <c r="H197" s="240">
        <v>20.45</v>
      </c>
      <c r="I197" s="240">
        <v>20.45</v>
      </c>
      <c r="J197" s="240">
        <v>20.45</v>
      </c>
      <c r="K197" s="240">
        <v>20.45</v>
      </c>
      <c r="L197" s="240">
        <v>20.45</v>
      </c>
      <c r="M197" s="240">
        <v>20.45</v>
      </c>
    </row>
    <row r="198" spans="1:13" x14ac:dyDescent="0.25">
      <c r="A198" s="227" t="s">
        <v>801</v>
      </c>
      <c r="B198" s="249"/>
      <c r="C198" s="249"/>
      <c r="D198" s="240"/>
      <c r="E198" s="240"/>
      <c r="F198" s="240"/>
      <c r="G198" s="240"/>
      <c r="H198" s="240"/>
      <c r="I198" s="240"/>
      <c r="J198" s="240"/>
      <c r="K198" s="240"/>
      <c r="L198" s="240"/>
      <c r="M198" s="240"/>
    </row>
    <row r="199" spans="1:13" x14ac:dyDescent="0.25">
      <c r="A199" s="227" t="s">
        <v>948</v>
      </c>
      <c r="B199" s="249" t="s">
        <v>467</v>
      </c>
      <c r="C199" s="249" t="s">
        <v>949</v>
      </c>
      <c r="D199" s="240">
        <v>79.347122638501006</v>
      </c>
      <c r="E199" s="240">
        <v>72.469123798202901</v>
      </c>
      <c r="F199" s="240">
        <v>78.650498810000101</v>
      </c>
      <c r="G199" s="240">
        <v>100.71807237161801</v>
      </c>
      <c r="H199" s="240">
        <v>105.76305748409099</v>
      </c>
      <c r="I199" s="240">
        <v>151.634295815754</v>
      </c>
      <c r="J199" s="240">
        <v>160.07009067559099</v>
      </c>
      <c r="K199" s="240">
        <v>168.97719343119101</v>
      </c>
      <c r="L199" s="240">
        <v>178.38227604493301</v>
      </c>
      <c r="M199" s="240">
        <v>188.31354465417201</v>
      </c>
    </row>
    <row r="200" spans="1:13" x14ac:dyDescent="0.25">
      <c r="A200" s="227" t="s">
        <v>950</v>
      </c>
      <c r="B200" s="249" t="s">
        <v>951</v>
      </c>
      <c r="C200" s="249" t="s">
        <v>952</v>
      </c>
      <c r="D200" s="240">
        <v>14104.380952381</v>
      </c>
      <c r="E200" s="240">
        <v>14962.857142857099</v>
      </c>
      <c r="F200" s="240">
        <v>15869.6</v>
      </c>
      <c r="G200" s="240">
        <v>16699.333333333299</v>
      </c>
      <c r="H200" s="240">
        <v>17723</v>
      </c>
      <c r="I200" s="240">
        <v>19234.5</v>
      </c>
      <c r="J200" s="240">
        <v>20492.5</v>
      </c>
      <c r="K200" s="240">
        <v>21833</v>
      </c>
      <c r="L200" s="240">
        <v>23259.5</v>
      </c>
      <c r="M200" s="240">
        <v>24779</v>
      </c>
    </row>
    <row r="201" spans="1:13" x14ac:dyDescent="0.25">
      <c r="A201" s="227" t="s">
        <v>953</v>
      </c>
      <c r="B201" s="249" t="s">
        <v>954</v>
      </c>
      <c r="C201" s="249" t="s">
        <v>955</v>
      </c>
      <c r="D201" s="240">
        <v>28.6684739808024</v>
      </c>
      <c r="E201" s="240">
        <v>29.974131311853501</v>
      </c>
      <c r="F201" s="240">
        <v>30.402913616842401</v>
      </c>
      <c r="G201" s="240">
        <v>30.215052449713099</v>
      </c>
      <c r="H201" s="240">
        <v>30.522943179703098</v>
      </c>
      <c r="I201" s="240">
        <v>32.576220848747496</v>
      </c>
      <c r="J201" s="240">
        <v>33.025050785693203</v>
      </c>
      <c r="K201" s="240">
        <v>33.649681171666202</v>
      </c>
      <c r="L201" s="240">
        <v>34.204248813169102</v>
      </c>
      <c r="M201" s="240">
        <v>34.7672096905846</v>
      </c>
    </row>
    <row r="202" spans="1:13" x14ac:dyDescent="0.25">
      <c r="A202" s="227" t="s">
        <v>801</v>
      </c>
      <c r="B202" s="249"/>
      <c r="C202" s="249"/>
      <c r="D202" s="240"/>
      <c r="E202" s="240"/>
      <c r="F202" s="240"/>
      <c r="G202" s="240"/>
      <c r="H202" s="240"/>
      <c r="I202" s="240"/>
      <c r="J202" s="240"/>
      <c r="K202" s="240"/>
      <c r="L202" s="240"/>
      <c r="M202" s="240"/>
    </row>
    <row r="203" spans="1:13" x14ac:dyDescent="0.25">
      <c r="A203" s="227" t="s">
        <v>956</v>
      </c>
      <c r="B203" s="249" t="s">
        <v>957</v>
      </c>
      <c r="C203" s="249" t="s">
        <v>958</v>
      </c>
      <c r="D203" s="240">
        <v>4298.7857753932803</v>
      </c>
      <c r="E203" s="240">
        <v>4286.0393690412302</v>
      </c>
      <c r="F203" s="240">
        <v>4266.3866683408896</v>
      </c>
      <c r="G203" s="240">
        <v>4277.8078118881003</v>
      </c>
      <c r="H203" s="240">
        <v>4260.8443247566602</v>
      </c>
      <c r="I203" s="240">
        <v>4244.0161389411396</v>
      </c>
      <c r="J203" s="240">
        <v>4227.32217527392</v>
      </c>
      <c r="K203" s="240">
        <v>4210.7613631948398</v>
      </c>
      <c r="L203" s="240">
        <v>4194.3326406826</v>
      </c>
      <c r="M203" s="240">
        <v>4178.0349541865598</v>
      </c>
    </row>
    <row r="204" spans="1:13" x14ac:dyDescent="0.25">
      <c r="A204" s="227" t="s">
        <v>793</v>
      </c>
      <c r="B204" s="249" t="s">
        <v>794</v>
      </c>
      <c r="C204" s="249" t="s">
        <v>795</v>
      </c>
      <c r="D204" s="240">
        <v>3.2695652173913099</v>
      </c>
      <c r="E204" s="240">
        <v>3.4795652173913099</v>
      </c>
      <c r="F204" s="240">
        <v>3.7037499999999999</v>
      </c>
      <c r="G204" s="240">
        <v>3.9525000000000001</v>
      </c>
      <c r="H204" s="240">
        <v>4.22</v>
      </c>
      <c r="I204" s="240">
        <v>4.5466666666666704</v>
      </c>
      <c r="J204" s="240">
        <v>4.8433333333333302</v>
      </c>
      <c r="K204" s="240">
        <v>5.1566666666666698</v>
      </c>
      <c r="L204" s="240">
        <v>5.55</v>
      </c>
      <c r="M204" s="240">
        <v>5.9349999999999996</v>
      </c>
    </row>
    <row r="205" spans="1:13" x14ac:dyDescent="0.25">
      <c r="A205" s="227" t="s">
        <v>959</v>
      </c>
      <c r="B205" s="249" t="s">
        <v>960</v>
      </c>
      <c r="C205" s="249" t="s">
        <v>961</v>
      </c>
      <c r="D205" s="240">
        <v>8.6518989812500404</v>
      </c>
      <c r="E205" s="240">
        <v>6.5064629352897398</v>
      </c>
      <c r="F205" s="240">
        <v>7.0572479703299598</v>
      </c>
      <c r="G205" s="240">
        <v>6.4133738731848604</v>
      </c>
      <c r="H205" s="240">
        <v>6.681407129368</v>
      </c>
      <c r="I205" s="240">
        <v>6.9771397540194897</v>
      </c>
      <c r="J205" s="240">
        <v>6.9713639890792596</v>
      </c>
      <c r="K205" s="240">
        <v>6.9664608501315399</v>
      </c>
      <c r="L205" s="240">
        <v>6.9626605998834998</v>
      </c>
      <c r="M205" s="240">
        <v>6.9586085584795097</v>
      </c>
    </row>
    <row r="206" spans="1:13" x14ac:dyDescent="0.25">
      <c r="A206" s="227" t="s">
        <v>801</v>
      </c>
      <c r="B206" s="249"/>
      <c r="C206" s="249"/>
      <c r="D206" s="240"/>
      <c r="E206" s="240"/>
      <c r="F206" s="240"/>
      <c r="G206" s="240"/>
      <c r="H206" s="240"/>
      <c r="I206" s="240"/>
      <c r="J206" s="240"/>
      <c r="K206" s="240"/>
      <c r="L206" s="240"/>
      <c r="M206" s="240"/>
    </row>
    <row r="207" spans="1:13" x14ac:dyDescent="0.25">
      <c r="A207" s="227" t="s">
        <v>962</v>
      </c>
      <c r="B207" s="249" t="s">
        <v>963</v>
      </c>
      <c r="C207" s="249" t="s">
        <v>964</v>
      </c>
      <c r="D207" s="240">
        <v>2.1870588235294099</v>
      </c>
      <c r="E207" s="240">
        <v>2.2885</v>
      </c>
      <c r="F207" s="240">
        <v>2.4086666666666701</v>
      </c>
      <c r="G207" s="240">
        <v>2.6549999999999998</v>
      </c>
      <c r="H207" s="240">
        <v>2.8075000000000001</v>
      </c>
      <c r="I207" s="240">
        <v>2.9666666666666699</v>
      </c>
      <c r="J207" s="240">
        <v>3.12333333333333</v>
      </c>
      <c r="K207" s="240">
        <v>3.2866666666666702</v>
      </c>
      <c r="L207" s="240">
        <v>3.2549999999999999</v>
      </c>
      <c r="M207" s="240">
        <v>3.4350000000000001</v>
      </c>
    </row>
    <row r="208" spans="1:13" x14ac:dyDescent="0.25">
      <c r="A208" s="227" t="s">
        <v>965</v>
      </c>
      <c r="B208" s="249" t="s">
        <v>966</v>
      </c>
      <c r="C208" s="249" t="s">
        <v>967</v>
      </c>
      <c r="D208" s="240">
        <v>64.9096053830595</v>
      </c>
      <c r="E208" s="240">
        <v>64.008980186275707</v>
      </c>
      <c r="F208" s="240">
        <v>62.6851796607287</v>
      </c>
      <c r="G208" s="240">
        <v>67.7</v>
      </c>
      <c r="H208" s="240">
        <v>68.2</v>
      </c>
      <c r="I208" s="240"/>
      <c r="J208" s="240"/>
      <c r="K208" s="240"/>
      <c r="L208" s="240"/>
      <c r="M208" s="240"/>
    </row>
    <row r="209" spans="1:13" x14ac:dyDescent="0.25">
      <c r="A209" s="227" t="s">
        <v>801</v>
      </c>
      <c r="B209" s="249"/>
      <c r="C209" s="249"/>
      <c r="D209" s="240"/>
      <c r="E209" s="240"/>
      <c r="F209" s="240"/>
      <c r="G209" s="240"/>
      <c r="H209" s="240"/>
      <c r="I209" s="240"/>
      <c r="J209" s="240"/>
      <c r="K209" s="240"/>
      <c r="L209" s="240"/>
      <c r="M209" s="240"/>
    </row>
    <row r="210" spans="1:13" x14ac:dyDescent="0.25">
      <c r="A210" s="227" t="s">
        <v>968</v>
      </c>
      <c r="B210" s="249"/>
      <c r="C210" s="249"/>
      <c r="D210" s="240"/>
      <c r="E210" s="240"/>
      <c r="F210" s="240"/>
      <c r="G210" s="240"/>
      <c r="H210" s="240"/>
      <c r="I210" s="240"/>
      <c r="J210" s="240"/>
      <c r="K210" s="240"/>
      <c r="L210" s="240"/>
      <c r="M210" s="240"/>
    </row>
    <row r="211" spans="1:13" x14ac:dyDescent="0.25">
      <c r="A211" s="227" t="s">
        <v>969</v>
      </c>
      <c r="B211" s="249" t="s">
        <v>337</v>
      </c>
      <c r="C211" s="249" t="s">
        <v>800</v>
      </c>
      <c r="D211" s="240">
        <v>49028.2134249804</v>
      </c>
      <c r="E211" s="240">
        <v>49942.983010370801</v>
      </c>
      <c r="F211" s="240">
        <v>52682.796096288199</v>
      </c>
      <c r="G211" s="240">
        <v>56304.1728010222</v>
      </c>
      <c r="H211" s="240">
        <v>59176.0643242488</v>
      </c>
      <c r="I211" s="240">
        <v>62571.751580235497</v>
      </c>
      <c r="J211" s="240">
        <v>65872.024526334193</v>
      </c>
      <c r="K211" s="240">
        <v>69350.256308915894</v>
      </c>
      <c r="L211" s="240">
        <v>73016.283466883702</v>
      </c>
      <c r="M211" s="240">
        <v>76880.501016411799</v>
      </c>
    </row>
    <row r="212" spans="1:13" x14ac:dyDescent="0.25">
      <c r="A212" s="227" t="s">
        <v>970</v>
      </c>
      <c r="B212" s="249" t="s">
        <v>971</v>
      </c>
      <c r="C212" s="249" t="s">
        <v>972</v>
      </c>
      <c r="D212" s="240">
        <v>18732.1667369397</v>
      </c>
      <c r="E212" s="240">
        <v>19044.474789466902</v>
      </c>
      <c r="F212" s="240">
        <v>19927.919980677401</v>
      </c>
      <c r="G212" s="240">
        <v>21670.8273923987</v>
      </c>
      <c r="H212" s="240">
        <v>22747.325086457</v>
      </c>
      <c r="I212" s="240">
        <v>24402.983116291802</v>
      </c>
      <c r="J212" s="240">
        <v>25690.089565270398</v>
      </c>
      <c r="K212" s="240">
        <v>27046.599960477201</v>
      </c>
      <c r="L212" s="240">
        <v>28476.350552084601</v>
      </c>
      <c r="M212" s="240">
        <v>29983.3953964006</v>
      </c>
    </row>
    <row r="213" spans="1:13" x14ac:dyDescent="0.25">
      <c r="A213" s="227" t="s">
        <v>973</v>
      </c>
      <c r="B213" s="249" t="s">
        <v>341</v>
      </c>
      <c r="C213" s="249" t="s">
        <v>974</v>
      </c>
      <c r="D213" s="240">
        <v>30493.1994329263</v>
      </c>
      <c r="E213" s="240">
        <v>31089.467526450801</v>
      </c>
      <c r="F213" s="240">
        <v>32555.5928278969</v>
      </c>
      <c r="G213" s="240"/>
      <c r="H213" s="240"/>
      <c r="I213" s="240"/>
      <c r="J213" s="240"/>
      <c r="K213" s="240"/>
      <c r="L213" s="240"/>
      <c r="M213" s="240"/>
    </row>
    <row r="214" spans="1:13" x14ac:dyDescent="0.25">
      <c r="A214" s="227" t="s">
        <v>975</v>
      </c>
      <c r="B214" s="249" t="s">
        <v>976</v>
      </c>
      <c r="C214" s="249" t="s">
        <v>977</v>
      </c>
      <c r="D214" s="240">
        <v>14459.735656499701</v>
      </c>
      <c r="E214" s="240">
        <v>14432.406471012</v>
      </c>
      <c r="F214" s="240">
        <v>15039.6791479405</v>
      </c>
      <c r="G214" s="240"/>
      <c r="H214" s="240"/>
      <c r="I214" s="240"/>
      <c r="J214" s="240"/>
      <c r="K214" s="240"/>
      <c r="L214" s="240"/>
      <c r="M214" s="240"/>
    </row>
    <row r="215" spans="1:13" x14ac:dyDescent="0.25">
      <c r="A215" s="227" t="s">
        <v>978</v>
      </c>
      <c r="B215" s="249" t="s">
        <v>979</v>
      </c>
      <c r="C215" s="249" t="s">
        <v>980</v>
      </c>
      <c r="D215" s="240"/>
      <c r="E215" s="240"/>
      <c r="F215" s="240"/>
      <c r="G215" s="240"/>
      <c r="H215" s="240"/>
      <c r="I215" s="240"/>
      <c r="J215" s="240"/>
      <c r="K215" s="240"/>
      <c r="L215" s="240"/>
      <c r="M215" s="240"/>
    </row>
    <row r="216" spans="1:13" x14ac:dyDescent="0.25">
      <c r="A216" s="227" t="s">
        <v>981</v>
      </c>
      <c r="B216" s="249" t="s">
        <v>982</v>
      </c>
      <c r="C216" s="249" t="s">
        <v>983</v>
      </c>
      <c r="D216" s="240">
        <v>5502.3488662023601</v>
      </c>
      <c r="E216" s="240">
        <v>5586.3953849065701</v>
      </c>
      <c r="F216" s="240">
        <v>5802.4608610027499</v>
      </c>
      <c r="G216" s="240">
        <v>6152.2727330260504</v>
      </c>
      <c r="H216" s="240">
        <v>6415.3316495263598</v>
      </c>
      <c r="I216" s="240">
        <v>6787.4184870312201</v>
      </c>
      <c r="J216" s="240">
        <v>7082.5582097749902</v>
      </c>
      <c r="K216" s="240">
        <v>7394.7852125528998</v>
      </c>
      <c r="L216" s="240">
        <v>7736.4184152497101</v>
      </c>
      <c r="M216" s="240">
        <v>8094.61686418308</v>
      </c>
    </row>
    <row r="217" spans="1:13" x14ac:dyDescent="0.25">
      <c r="A217" s="227" t="s">
        <v>984</v>
      </c>
      <c r="B217" s="249" t="s">
        <v>985</v>
      </c>
      <c r="C217" s="249" t="s">
        <v>986</v>
      </c>
      <c r="D217" s="240">
        <v>233.66974673189699</v>
      </c>
      <c r="E217" s="240">
        <v>156.48892756206101</v>
      </c>
      <c r="F217" s="240">
        <v>72.921586297900902</v>
      </c>
      <c r="G217" s="240">
        <v>-444.16709783850098</v>
      </c>
      <c r="H217" s="240">
        <v>-443.85089668415702</v>
      </c>
      <c r="I217" s="240">
        <v>-884.819497883542</v>
      </c>
      <c r="J217" s="240">
        <v>-879.45025806260003</v>
      </c>
      <c r="K217" s="240">
        <v>-871.33702406458201</v>
      </c>
      <c r="L217" s="240">
        <v>-860.20114524625001</v>
      </c>
      <c r="M217" s="240">
        <v>-845.74064023364895</v>
      </c>
    </row>
    <row r="218" spans="1:13" x14ac:dyDescent="0.25">
      <c r="A218" s="227" t="s">
        <v>987</v>
      </c>
      <c r="B218" s="249" t="s">
        <v>420</v>
      </c>
      <c r="C218" s="249" t="s">
        <v>872</v>
      </c>
      <c r="D218" s="240">
        <v>15575.8184906476</v>
      </c>
      <c r="E218" s="240">
        <v>16539.6219316118</v>
      </c>
      <c r="F218" s="240">
        <v>17535.5957941876</v>
      </c>
      <c r="G218" s="240">
        <v>18899.178480382699</v>
      </c>
      <c r="H218" s="240">
        <v>20077.319176740501</v>
      </c>
      <c r="I218" s="240">
        <v>22138.680789638001</v>
      </c>
      <c r="J218" s="240">
        <v>23583.681419656601</v>
      </c>
      <c r="K218" s="240">
        <v>25121.167976766799</v>
      </c>
      <c r="L218" s="240">
        <v>26757.019936114801</v>
      </c>
      <c r="M218" s="240">
        <v>28497.491041435202</v>
      </c>
    </row>
    <row r="219" spans="1:13" x14ac:dyDescent="0.25">
      <c r="A219" s="227" t="s">
        <v>988</v>
      </c>
      <c r="B219" s="249" t="s">
        <v>380</v>
      </c>
      <c r="C219" s="249" t="s">
        <v>989</v>
      </c>
      <c r="D219" s="240">
        <v>31.863869195205801</v>
      </c>
      <c r="E219" s="240">
        <v>33.165319904494197</v>
      </c>
      <c r="F219" s="240">
        <v>33.620348609722001</v>
      </c>
      <c r="G219" s="240">
        <v>34.540337162028202</v>
      </c>
      <c r="H219" s="240">
        <v>34.960621428611603</v>
      </c>
      <c r="I219" s="240">
        <v>35.381270670119697</v>
      </c>
      <c r="J219" s="240">
        <v>35.802272040733001</v>
      </c>
      <c r="K219" s="240">
        <v>36.223612303415699</v>
      </c>
      <c r="L219" s="240">
        <v>36.645277827993397</v>
      </c>
      <c r="M219" s="240">
        <v>37.067254589498397</v>
      </c>
    </row>
    <row r="220" spans="1:13" x14ac:dyDescent="0.25">
      <c r="A220" s="227" t="s">
        <v>990</v>
      </c>
      <c r="B220" s="249" t="s">
        <v>424</v>
      </c>
      <c r="C220" s="249" t="s">
        <v>991</v>
      </c>
      <c r="D220" s="240">
        <v>673.36154153675295</v>
      </c>
      <c r="E220" s="240">
        <v>666.58881558103496</v>
      </c>
      <c r="F220" s="240">
        <v>762.75133530598498</v>
      </c>
      <c r="G220" s="240"/>
      <c r="H220" s="240"/>
      <c r="I220" s="240"/>
      <c r="J220" s="240"/>
      <c r="K220" s="240"/>
      <c r="L220" s="240"/>
      <c r="M220" s="240"/>
    </row>
    <row r="221" spans="1:13" x14ac:dyDescent="0.25">
      <c r="A221" s="227" t="s">
        <v>992</v>
      </c>
      <c r="B221" s="249" t="s">
        <v>426</v>
      </c>
      <c r="C221" s="249" t="s">
        <v>993</v>
      </c>
      <c r="D221" s="240">
        <v>1573.15070083316</v>
      </c>
      <c r="E221" s="240">
        <v>1529.1410623459899</v>
      </c>
      <c r="F221" s="240">
        <v>1503.02</v>
      </c>
      <c r="G221" s="240">
        <v>1316.7</v>
      </c>
      <c r="H221" s="240">
        <v>1316.7</v>
      </c>
      <c r="I221" s="240">
        <v>1316.7</v>
      </c>
      <c r="J221" s="240">
        <v>1316.7</v>
      </c>
      <c r="K221" s="240">
        <v>1316.7</v>
      </c>
      <c r="L221" s="240">
        <v>1316.7</v>
      </c>
      <c r="M221" s="240">
        <v>1316.7</v>
      </c>
    </row>
    <row r="222" spans="1:13" x14ac:dyDescent="0.25">
      <c r="A222" s="227" t="s">
        <v>994</v>
      </c>
      <c r="B222" s="249" t="s">
        <v>995</v>
      </c>
      <c r="C222" s="249" t="s">
        <v>996</v>
      </c>
      <c r="D222" s="240">
        <v>2136.4042267596901</v>
      </c>
      <c r="E222" s="240">
        <v>2289.97455374118</v>
      </c>
      <c r="F222" s="240">
        <v>2406.9055229751798</v>
      </c>
      <c r="G222" s="240">
        <v>2392.7538599999998</v>
      </c>
      <c r="H222" s="240">
        <v>2464.5364758000001</v>
      </c>
      <c r="I222" s="240">
        <v>2538.472570074</v>
      </c>
      <c r="J222" s="240">
        <v>2614.6267471762199</v>
      </c>
      <c r="K222" s="240">
        <v>2693.0655495915098</v>
      </c>
      <c r="L222" s="240">
        <v>2773.8575160792502</v>
      </c>
      <c r="M222" s="240">
        <v>2857.0732415616299</v>
      </c>
    </row>
    <row r="223" spans="1:13" x14ac:dyDescent="0.25">
      <c r="A223" s="227" t="s">
        <v>997</v>
      </c>
      <c r="B223" s="249" t="s">
        <v>998</v>
      </c>
      <c r="C223" s="249" t="s">
        <v>999</v>
      </c>
      <c r="D223" s="240">
        <v>-346.14777031696502</v>
      </c>
      <c r="E223" s="240">
        <v>-425.96903120296702</v>
      </c>
      <c r="F223" s="240">
        <v>-465.01666666666699</v>
      </c>
      <c r="G223" s="240">
        <v>-887.51250000000005</v>
      </c>
      <c r="H223" s="240">
        <v>-931.88812499999995</v>
      </c>
      <c r="I223" s="240">
        <v>-978.48253124999997</v>
      </c>
      <c r="J223" s="240">
        <v>-1027.4066578125</v>
      </c>
      <c r="K223" s="240">
        <v>-1078.77699070313</v>
      </c>
      <c r="L223" s="240">
        <v>-1132.71584023828</v>
      </c>
      <c r="M223" s="240">
        <v>-1189.3516322502001</v>
      </c>
    </row>
    <row r="224" spans="1:13" x14ac:dyDescent="0.25">
      <c r="A224" s="227" t="s">
        <v>1000</v>
      </c>
      <c r="B224" s="249" t="s">
        <v>451</v>
      </c>
      <c r="C224" s="249" t="s">
        <v>1001</v>
      </c>
      <c r="D224" s="240">
        <v>3307.5051988483701</v>
      </c>
      <c r="E224" s="240">
        <v>3810.80304098119</v>
      </c>
      <c r="F224" s="240">
        <v>4048.51922288272</v>
      </c>
      <c r="G224" s="240">
        <v>4422.5769386126503</v>
      </c>
      <c r="H224" s="240">
        <v>4692.2824132636897</v>
      </c>
      <c r="I224" s="240">
        <v>5083.2252319489698</v>
      </c>
      <c r="J224" s="240">
        <v>5413.5047475646797</v>
      </c>
      <c r="K224" s="240">
        <v>5765.0747545051699</v>
      </c>
      <c r="L224" s="240">
        <v>6139.3519900156398</v>
      </c>
      <c r="M224" s="240">
        <v>6537.7719304112898</v>
      </c>
    </row>
    <row r="225" spans="1:13" x14ac:dyDescent="0.25">
      <c r="A225" s="227" t="s">
        <v>1002</v>
      </c>
      <c r="B225" s="249" t="s">
        <v>394</v>
      </c>
      <c r="C225" s="249" t="s">
        <v>1003</v>
      </c>
      <c r="D225" s="240">
        <v>18.342638187368799</v>
      </c>
      <c r="E225" s="240">
        <v>19.966666666666701</v>
      </c>
      <c r="F225" s="240">
        <v>19.966666666666701</v>
      </c>
      <c r="G225" s="240">
        <v>20</v>
      </c>
      <c r="H225" s="240">
        <v>20</v>
      </c>
      <c r="I225" s="240">
        <v>20</v>
      </c>
      <c r="J225" s="240">
        <v>20</v>
      </c>
      <c r="K225" s="240">
        <v>20</v>
      </c>
      <c r="L225" s="240">
        <v>20</v>
      </c>
      <c r="M225" s="240">
        <v>20</v>
      </c>
    </row>
    <row r="226" spans="1:13" x14ac:dyDescent="0.25">
      <c r="A226" s="227" t="s">
        <v>1004</v>
      </c>
      <c r="B226" s="249" t="s">
        <v>436</v>
      </c>
      <c r="C226" s="249" t="s">
        <v>1005</v>
      </c>
      <c r="D226" s="240">
        <v>17632.501337129099</v>
      </c>
      <c r="E226" s="240">
        <v>18769.6104093022</v>
      </c>
      <c r="F226" s="240">
        <v>19939.7808217069</v>
      </c>
      <c r="G226" s="240">
        <v>21596.9564288367</v>
      </c>
      <c r="H226" s="240">
        <v>22971.8117041769</v>
      </c>
      <c r="I226" s="240">
        <v>24860.672048414599</v>
      </c>
      <c r="J226" s="240">
        <v>26477.448010922501</v>
      </c>
      <c r="K226" s="240">
        <v>28198.470037254701</v>
      </c>
      <c r="L226" s="240">
        <v>30030.6703595037</v>
      </c>
      <c r="M226" s="240">
        <v>31981.080790103599</v>
      </c>
    </row>
    <row r="227" spans="1:13" x14ac:dyDescent="0.25">
      <c r="A227" s="227" t="s">
        <v>1006</v>
      </c>
      <c r="B227" s="249" t="s">
        <v>1007</v>
      </c>
      <c r="C227" s="249" t="s">
        <v>1008</v>
      </c>
      <c r="D227" s="240">
        <v>35.855298924637502</v>
      </c>
      <c r="E227" s="240">
        <v>36.8164609551295</v>
      </c>
      <c r="F227" s="240">
        <v>37.331541532930601</v>
      </c>
      <c r="G227" s="240">
        <v>38.085457643125601</v>
      </c>
      <c r="H227" s="240">
        <v>38.570188619032898</v>
      </c>
      <c r="I227" s="240">
        <v>40.009259885068303</v>
      </c>
      <c r="J227" s="240">
        <v>40.577632692765597</v>
      </c>
      <c r="K227" s="240">
        <v>41.145560750532603</v>
      </c>
      <c r="L227" s="240">
        <v>41.713104898728801</v>
      </c>
      <c r="M227" s="240">
        <v>42.2803218520258</v>
      </c>
    </row>
    <row r="228" spans="1:13" x14ac:dyDescent="0.25">
      <c r="A228" s="227" t="s">
        <v>1009</v>
      </c>
      <c r="B228" s="249" t="s">
        <v>1010</v>
      </c>
      <c r="C228" s="249" t="s">
        <v>1011</v>
      </c>
      <c r="D228" s="240">
        <v>14104.380952381</v>
      </c>
      <c r="E228" s="240">
        <v>14962.857142857099</v>
      </c>
      <c r="F228" s="240">
        <v>15869.6</v>
      </c>
      <c r="G228" s="240">
        <v>16699.333333333299</v>
      </c>
      <c r="H228" s="240">
        <v>17723</v>
      </c>
      <c r="I228" s="240">
        <v>19234.5</v>
      </c>
      <c r="J228" s="240">
        <v>20492.5</v>
      </c>
      <c r="K228" s="240">
        <v>21833</v>
      </c>
      <c r="L228" s="240">
        <v>23259.5</v>
      </c>
      <c r="M228" s="240">
        <v>24779</v>
      </c>
    </row>
    <row r="229" spans="1:13" x14ac:dyDescent="0.25">
      <c r="A229" s="227" t="s">
        <v>1012</v>
      </c>
      <c r="B229" s="249" t="s">
        <v>1013</v>
      </c>
      <c r="C229" s="249" t="s">
        <v>1014</v>
      </c>
      <c r="D229" s="240">
        <v>14106</v>
      </c>
      <c r="E229" s="240">
        <v>14963.9</v>
      </c>
      <c r="F229" s="240">
        <v>15860.4285714286</v>
      </c>
      <c r="G229" s="240">
        <v>16699.333333333299</v>
      </c>
      <c r="H229" s="240">
        <v>17723</v>
      </c>
      <c r="I229" s="240">
        <v>19234.5</v>
      </c>
      <c r="J229" s="240">
        <v>20492.5</v>
      </c>
      <c r="K229" s="240">
        <v>21833</v>
      </c>
      <c r="L229" s="240">
        <v>23259.5</v>
      </c>
      <c r="M229" s="240">
        <v>24779</v>
      </c>
    </row>
    <row r="230" spans="1:13" x14ac:dyDescent="0.25">
      <c r="A230" s="227" t="s">
        <v>1015</v>
      </c>
      <c r="B230" s="249" t="s">
        <v>480</v>
      </c>
      <c r="C230" s="249" t="s">
        <v>1016</v>
      </c>
      <c r="D230" s="240">
        <v>4305.8208806455996</v>
      </c>
      <c r="E230" s="240">
        <v>4292.0522136079699</v>
      </c>
      <c r="F230" s="240">
        <v>4275.4511295086304</v>
      </c>
      <c r="G230" s="240">
        <v>4314</v>
      </c>
      <c r="H230" s="240">
        <v>4314</v>
      </c>
      <c r="I230" s="240">
        <v>4314</v>
      </c>
      <c r="J230" s="240">
        <v>4314</v>
      </c>
      <c r="K230" s="240">
        <v>4314</v>
      </c>
      <c r="L230" s="240">
        <v>4314</v>
      </c>
      <c r="M230" s="240">
        <v>4314</v>
      </c>
    </row>
    <row r="231" spans="1:13" x14ac:dyDescent="0.25">
      <c r="A231" s="227" t="s">
        <v>1017</v>
      </c>
      <c r="B231" s="249" t="s">
        <v>1018</v>
      </c>
      <c r="C231" s="249" t="s">
        <v>1019</v>
      </c>
      <c r="D231" s="240">
        <v>3.27</v>
      </c>
      <c r="E231" s="240">
        <v>3.48</v>
      </c>
      <c r="F231" s="240">
        <v>3.7013333333333298</v>
      </c>
      <c r="G231" s="240">
        <v>3.9525000000000001</v>
      </c>
      <c r="H231" s="240">
        <v>4.22</v>
      </c>
      <c r="I231" s="240">
        <v>4.5466666666666704</v>
      </c>
      <c r="J231" s="240">
        <v>4.8433333333333302</v>
      </c>
      <c r="K231" s="240">
        <v>5.1566666666666698</v>
      </c>
      <c r="L231" s="240">
        <v>5.55</v>
      </c>
      <c r="M231" s="240">
        <v>5.9349999999999996</v>
      </c>
    </row>
    <row r="232" spans="1:13" x14ac:dyDescent="0.25">
      <c r="A232" s="227" t="s">
        <v>801</v>
      </c>
      <c r="B232" s="249"/>
      <c r="C232" s="249"/>
      <c r="D232" s="240"/>
      <c r="E232" s="240"/>
      <c r="F232" s="240"/>
      <c r="G232" s="240"/>
      <c r="H232" s="240"/>
      <c r="I232" s="240"/>
      <c r="J232" s="240"/>
      <c r="K232" s="240"/>
      <c r="L232" s="240"/>
      <c r="M232" s="240"/>
    </row>
    <row r="233" spans="1:13" x14ac:dyDescent="0.25">
      <c r="A233" s="227" t="s">
        <v>1020</v>
      </c>
      <c r="B233" s="249"/>
      <c r="C233" s="249"/>
      <c r="D233" s="240"/>
      <c r="E233" s="240"/>
      <c r="F233" s="240"/>
      <c r="G233" s="240"/>
      <c r="H233" s="240"/>
      <c r="I233" s="240"/>
      <c r="J233" s="240"/>
      <c r="K233" s="240"/>
      <c r="L233" s="240"/>
      <c r="M233" s="240"/>
    </row>
    <row r="234" spans="1:13" x14ac:dyDescent="0.25">
      <c r="A234" s="227" t="s">
        <v>1021</v>
      </c>
      <c r="B234" s="249"/>
      <c r="C234" s="249"/>
      <c r="D234" s="240"/>
      <c r="E234" s="240"/>
      <c r="F234" s="240"/>
      <c r="G234" s="240"/>
      <c r="H234" s="240"/>
      <c r="I234" s="240"/>
      <c r="J234" s="240"/>
      <c r="K234" s="240"/>
      <c r="L234" s="240"/>
      <c r="M234" s="240"/>
    </row>
    <row r="235" spans="1:13" x14ac:dyDescent="0.25">
      <c r="A235" s="227" t="s">
        <v>1022</v>
      </c>
      <c r="B235" s="249" t="s">
        <v>546</v>
      </c>
      <c r="C235" s="249" t="s">
        <v>1023</v>
      </c>
      <c r="D235" s="240">
        <v>30545.650401971201</v>
      </c>
      <c r="E235" s="240">
        <v>31544.3867071366</v>
      </c>
      <c r="F235" s="240">
        <v>34837.485288344098</v>
      </c>
      <c r="G235" s="240">
        <v>42224.0271376905</v>
      </c>
      <c r="H235" s="240">
        <v>46775.833101818898</v>
      </c>
      <c r="I235" s="240">
        <v>51815.897157321699</v>
      </c>
      <c r="J235" s="240">
        <v>57399.839020603598</v>
      </c>
      <c r="K235" s="240">
        <v>63523.093329340598</v>
      </c>
      <c r="L235" s="240">
        <v>70285.851466271401</v>
      </c>
      <c r="M235" s="240">
        <v>77720.232633179898</v>
      </c>
    </row>
    <row r="236" spans="1:13" x14ac:dyDescent="0.25">
      <c r="A236" s="227" t="s">
        <v>1024</v>
      </c>
      <c r="B236" s="249" t="s">
        <v>517</v>
      </c>
      <c r="C236" s="249" t="s">
        <v>1025</v>
      </c>
      <c r="D236" s="240">
        <v>13381.777694120899</v>
      </c>
      <c r="E236" s="240">
        <v>14329.357075796501</v>
      </c>
      <c r="F236" s="240">
        <v>16172.981486427399</v>
      </c>
      <c r="G236" s="240">
        <v>23070.860472037901</v>
      </c>
      <c r="H236" s="240">
        <v>27090.0127692856</v>
      </c>
      <c r="I236" s="240">
        <v>31572.078952943899</v>
      </c>
      <c r="J236" s="240">
        <v>36551.516818780801</v>
      </c>
      <c r="K236" s="240">
        <v>42081.902533967797</v>
      </c>
      <c r="L236" s="240">
        <v>48202.582649894299</v>
      </c>
      <c r="M236" s="240">
        <v>54964.026558200603</v>
      </c>
    </row>
    <row r="237" spans="1:13" x14ac:dyDescent="0.25">
      <c r="A237" s="227" t="s">
        <v>1026</v>
      </c>
      <c r="B237" s="249" t="s">
        <v>519</v>
      </c>
      <c r="C237" s="249" t="s">
        <v>1027</v>
      </c>
      <c r="D237" s="240">
        <v>3246</v>
      </c>
      <c r="E237" s="240">
        <v>3246</v>
      </c>
      <c r="F237" s="240">
        <v>3246</v>
      </c>
      <c r="G237" s="240">
        <v>3246</v>
      </c>
      <c r="H237" s="240">
        <v>3246</v>
      </c>
      <c r="I237" s="240">
        <v>3246</v>
      </c>
      <c r="J237" s="240">
        <v>3246</v>
      </c>
      <c r="K237" s="240">
        <v>3246</v>
      </c>
      <c r="L237" s="240">
        <v>3246</v>
      </c>
      <c r="M237" s="240">
        <v>3246</v>
      </c>
    </row>
    <row r="238" spans="1:13" x14ac:dyDescent="0.25">
      <c r="A238" s="227" t="s">
        <v>1028</v>
      </c>
      <c r="B238" s="249" t="s">
        <v>1029</v>
      </c>
      <c r="C238" s="249" t="s">
        <v>1030</v>
      </c>
      <c r="D238" s="240">
        <v>950.857142857143</v>
      </c>
      <c r="E238" s="240">
        <v>950.857142857143</v>
      </c>
      <c r="F238" s="240">
        <v>1024.5</v>
      </c>
      <c r="G238" s="240">
        <v>509</v>
      </c>
      <c r="H238" s="240">
        <v>509</v>
      </c>
      <c r="I238" s="240">
        <v>509</v>
      </c>
      <c r="J238" s="240">
        <v>509</v>
      </c>
      <c r="K238" s="240">
        <v>509</v>
      </c>
      <c r="L238" s="240">
        <v>509</v>
      </c>
      <c r="M238" s="240">
        <v>509</v>
      </c>
    </row>
    <row r="239" spans="1:13" x14ac:dyDescent="0.25">
      <c r="A239" s="227" t="s">
        <v>1031</v>
      </c>
      <c r="B239" s="249" t="s">
        <v>523</v>
      </c>
      <c r="C239" s="249" t="s">
        <v>1032</v>
      </c>
      <c r="D239" s="240">
        <v>3405.69322990004</v>
      </c>
      <c r="E239" s="240">
        <v>3554.4610696913701</v>
      </c>
      <c r="F239" s="240">
        <v>3991.2762167422202</v>
      </c>
      <c r="G239" s="240">
        <v>4202.4197092040904</v>
      </c>
      <c r="H239" s="240">
        <v>4408.01543589831</v>
      </c>
      <c r="I239" s="240">
        <v>4468.4000703622896</v>
      </c>
      <c r="J239" s="240">
        <v>4692.9572434453603</v>
      </c>
      <c r="K239" s="240">
        <v>4916.1084132407896</v>
      </c>
      <c r="L239" s="240">
        <v>5156.7927895315397</v>
      </c>
      <c r="M239" s="240">
        <v>5409.7504867015596</v>
      </c>
    </row>
    <row r="240" spans="1:13" x14ac:dyDescent="0.25">
      <c r="A240" s="227" t="s">
        <v>1033</v>
      </c>
      <c r="B240" s="249" t="s">
        <v>527</v>
      </c>
      <c r="C240" s="249" t="s">
        <v>1034</v>
      </c>
      <c r="D240" s="240">
        <v>4442.9283417480801</v>
      </c>
      <c r="E240" s="240">
        <v>4519.6758801610004</v>
      </c>
      <c r="F240" s="240">
        <v>4757.0686278001904</v>
      </c>
      <c r="G240" s="240">
        <v>5266.7573635604604</v>
      </c>
      <c r="H240" s="240">
        <v>5505.7834265762103</v>
      </c>
      <c r="I240" s="240">
        <v>5825.5044933950103</v>
      </c>
      <c r="J240" s="240">
        <v>6093.5356300871599</v>
      </c>
      <c r="K240" s="240">
        <v>6360.6708746679697</v>
      </c>
      <c r="L240" s="240">
        <v>6648.3338954259198</v>
      </c>
      <c r="M240" s="240">
        <v>6949.7155101440403</v>
      </c>
    </row>
    <row r="241" spans="1:13" x14ac:dyDescent="0.25">
      <c r="A241" s="227" t="s">
        <v>1035</v>
      </c>
      <c r="B241" s="249" t="s">
        <v>1036</v>
      </c>
      <c r="C241" s="249" t="s">
        <v>1037</v>
      </c>
      <c r="D241" s="240">
        <v>2507.5714285714298</v>
      </c>
      <c r="E241" s="240">
        <v>2507.5714285714298</v>
      </c>
      <c r="F241" s="240">
        <v>2469.3333333333298</v>
      </c>
      <c r="G241" s="240">
        <v>2737</v>
      </c>
      <c r="H241" s="240">
        <v>2737</v>
      </c>
      <c r="I241" s="240">
        <v>2737</v>
      </c>
      <c r="J241" s="240">
        <v>2737</v>
      </c>
      <c r="K241" s="240">
        <v>2737</v>
      </c>
      <c r="L241" s="240">
        <v>2737</v>
      </c>
      <c r="M241" s="240">
        <v>2737</v>
      </c>
    </row>
    <row r="242" spans="1:13" x14ac:dyDescent="0.25">
      <c r="A242" s="227" t="s">
        <v>1038</v>
      </c>
      <c r="B242" s="249" t="s">
        <v>1039</v>
      </c>
      <c r="C242" s="249" t="s">
        <v>1040</v>
      </c>
      <c r="D242" s="240">
        <v>5585.3634082036097</v>
      </c>
      <c r="E242" s="240">
        <v>5905.79318510342</v>
      </c>
      <c r="F242" s="240">
        <v>6314.3808678206397</v>
      </c>
      <c r="G242" s="240">
        <v>6501.9010565058297</v>
      </c>
      <c r="H242" s="240">
        <v>6598.1220388215197</v>
      </c>
      <c r="I242" s="240">
        <v>6698.4136406205198</v>
      </c>
      <c r="J242" s="240">
        <v>6810.3293282903296</v>
      </c>
      <c r="K242" s="240">
        <v>6912.9115074640704</v>
      </c>
      <c r="L242" s="240">
        <v>7026.6421314196496</v>
      </c>
      <c r="M242" s="240">
        <v>7145.2400781336601</v>
      </c>
    </row>
    <row r="243" spans="1:13" x14ac:dyDescent="0.25">
      <c r="A243" s="227" t="s">
        <v>1041</v>
      </c>
      <c r="B243" s="249" t="s">
        <v>1042</v>
      </c>
      <c r="C243" s="249" t="s">
        <v>1043</v>
      </c>
      <c r="D243" s="240">
        <v>76249.715724547699</v>
      </c>
      <c r="E243" s="240">
        <v>78864.226363578506</v>
      </c>
      <c r="F243" s="240">
        <v>77921.816603760104</v>
      </c>
      <c r="G243" s="240">
        <v>79804.893577638795</v>
      </c>
      <c r="H243" s="240">
        <v>81787.972089721196</v>
      </c>
      <c r="I243" s="240">
        <v>83876.486448557902</v>
      </c>
      <c r="J243" s="240">
        <v>86076.173910838697</v>
      </c>
      <c r="K243" s="240">
        <v>88393.092037128095</v>
      </c>
      <c r="L243" s="240">
        <v>90833.637070103607</v>
      </c>
      <c r="M243" s="240">
        <v>93404.563397211998</v>
      </c>
    </row>
    <row r="244" spans="1:13" x14ac:dyDescent="0.25">
      <c r="A244" s="227" t="s">
        <v>1044</v>
      </c>
      <c r="B244" s="249" t="s">
        <v>1045</v>
      </c>
      <c r="C244" s="249" t="s">
        <v>1046</v>
      </c>
      <c r="D244" s="240">
        <v>10537.422540715999</v>
      </c>
      <c r="E244" s="240">
        <v>11481.521053050101</v>
      </c>
      <c r="F244" s="240">
        <v>12162.6560716162</v>
      </c>
      <c r="G244" s="240">
        <v>12616.7892614142</v>
      </c>
      <c r="H244" s="240">
        <v>13066.377882176301</v>
      </c>
      <c r="I244" s="240">
        <v>13774.289316705201</v>
      </c>
      <c r="J244" s="240">
        <v>14391.4314214185</v>
      </c>
      <c r="K244" s="240">
        <v>15041.160398911399</v>
      </c>
      <c r="L244" s="240">
        <v>15725.235667299101</v>
      </c>
      <c r="M244" s="240">
        <v>16445.514033568299</v>
      </c>
    </row>
    <row r="245" spans="1:13" x14ac:dyDescent="0.25">
      <c r="A245" s="227" t="s">
        <v>1047</v>
      </c>
      <c r="B245" s="249" t="s">
        <v>1048</v>
      </c>
      <c r="C245" s="249" t="s">
        <v>1049</v>
      </c>
      <c r="D245" s="240">
        <v>12313.396114285701</v>
      </c>
      <c r="E245" s="240">
        <v>12313.396114285701</v>
      </c>
      <c r="F245" s="240">
        <v>12288.4621333333</v>
      </c>
      <c r="G245" s="240">
        <v>12463</v>
      </c>
      <c r="H245" s="240">
        <v>12463</v>
      </c>
      <c r="I245" s="240">
        <v>12463</v>
      </c>
      <c r="J245" s="240">
        <v>12463</v>
      </c>
      <c r="K245" s="240">
        <v>12463</v>
      </c>
      <c r="L245" s="240">
        <v>12463</v>
      </c>
      <c r="M245" s="240">
        <v>12463</v>
      </c>
    </row>
    <row r="246" spans="1:13" x14ac:dyDescent="0.25">
      <c r="A246" s="227" t="s">
        <v>1050</v>
      </c>
      <c r="B246" s="249" t="s">
        <v>1051</v>
      </c>
      <c r="C246" s="249" t="s">
        <v>1052</v>
      </c>
      <c r="D246" s="240">
        <v>12437</v>
      </c>
      <c r="E246" s="240">
        <v>12344</v>
      </c>
      <c r="F246" s="240">
        <v>12252</v>
      </c>
      <c r="G246" s="240">
        <v>12161</v>
      </c>
      <c r="H246" s="240">
        <v>12071</v>
      </c>
      <c r="I246" s="240"/>
      <c r="J246" s="240"/>
      <c r="K246" s="240"/>
      <c r="L246" s="240"/>
      <c r="M246" s="240"/>
    </row>
    <row r="247" spans="1:13" x14ac:dyDescent="0.25">
      <c r="A247" s="227" t="s">
        <v>1053</v>
      </c>
      <c r="B247" s="249" t="s">
        <v>562</v>
      </c>
      <c r="C247" s="249" t="s">
        <v>1054</v>
      </c>
      <c r="D247" s="240">
        <v>15129.096600000001</v>
      </c>
      <c r="E247" s="240">
        <v>15129.096600000001</v>
      </c>
      <c r="F247" s="240">
        <v>15088.8246857143</v>
      </c>
      <c r="G247" s="240">
        <v>15004.333333333299</v>
      </c>
      <c r="H247" s="240">
        <v>15004.333333333299</v>
      </c>
      <c r="I247" s="240">
        <v>14761</v>
      </c>
      <c r="J247" s="240">
        <v>14761</v>
      </c>
      <c r="K247" s="240">
        <v>14761</v>
      </c>
      <c r="L247" s="240">
        <v>14761</v>
      </c>
      <c r="M247" s="240">
        <v>14761</v>
      </c>
    </row>
    <row r="248" spans="1:13" x14ac:dyDescent="0.25">
      <c r="A248" s="227" t="s">
        <v>1050</v>
      </c>
      <c r="B248" s="249" t="s">
        <v>564</v>
      </c>
      <c r="C248" s="249" t="s">
        <v>1055</v>
      </c>
      <c r="D248" s="240">
        <v>15806</v>
      </c>
      <c r="E248" s="240">
        <v>12183.6469705657</v>
      </c>
      <c r="F248" s="240">
        <v>12252</v>
      </c>
      <c r="G248" s="240">
        <v>12161</v>
      </c>
      <c r="H248" s="240">
        <v>12071</v>
      </c>
      <c r="I248" s="240"/>
      <c r="J248" s="240"/>
      <c r="K248" s="240"/>
      <c r="L248" s="240"/>
      <c r="M248" s="240"/>
    </row>
    <row r="249" spans="1:13" x14ac:dyDescent="0.25">
      <c r="A249" s="227" t="s">
        <v>1056</v>
      </c>
      <c r="B249" s="249" t="s">
        <v>554</v>
      </c>
      <c r="C249" s="249" t="s">
        <v>1057</v>
      </c>
      <c r="D249" s="240">
        <v>22</v>
      </c>
      <c r="E249" s="240">
        <v>22</v>
      </c>
      <c r="F249" s="240">
        <v>44</v>
      </c>
      <c r="G249" s="240">
        <v>44</v>
      </c>
      <c r="H249" s="240">
        <v>44</v>
      </c>
      <c r="I249" s="240">
        <v>44</v>
      </c>
      <c r="J249" s="240">
        <v>44</v>
      </c>
      <c r="K249" s="240">
        <v>44</v>
      </c>
      <c r="L249" s="240">
        <v>44</v>
      </c>
      <c r="M249" s="240">
        <v>44</v>
      </c>
    </row>
    <row r="250" spans="1:13" x14ac:dyDescent="0.25">
      <c r="A250" s="227" t="s">
        <v>1058</v>
      </c>
      <c r="B250" s="249" t="s">
        <v>566</v>
      </c>
      <c r="C250" s="249" t="s">
        <v>1059</v>
      </c>
      <c r="D250" s="240">
        <v>1141</v>
      </c>
      <c r="E250" s="240">
        <v>1141</v>
      </c>
      <c r="F250" s="240">
        <v>1141</v>
      </c>
      <c r="G250" s="240">
        <v>1141</v>
      </c>
      <c r="H250" s="240">
        <v>1141</v>
      </c>
      <c r="I250" s="240">
        <v>1141</v>
      </c>
      <c r="J250" s="240">
        <v>1141</v>
      </c>
      <c r="K250" s="240">
        <v>1141</v>
      </c>
      <c r="L250" s="240">
        <v>1141</v>
      </c>
      <c r="M250" s="240">
        <v>1141</v>
      </c>
    </row>
    <row r="251" spans="1:13" x14ac:dyDescent="0.25">
      <c r="A251" s="227" t="s">
        <v>1060</v>
      </c>
      <c r="B251" s="249" t="s">
        <v>572</v>
      </c>
      <c r="C251" s="249" t="s">
        <v>1061</v>
      </c>
      <c r="D251" s="240">
        <v>20587.6428247939</v>
      </c>
      <c r="E251" s="240">
        <v>20914.161466465499</v>
      </c>
      <c r="F251" s="240">
        <v>21082.526019290799</v>
      </c>
      <c r="G251" s="240">
        <v>21500.333333333299</v>
      </c>
      <c r="H251" s="240">
        <v>21890.666666666701</v>
      </c>
      <c r="I251" s="240">
        <v>20403</v>
      </c>
      <c r="J251" s="240">
        <v>20403</v>
      </c>
      <c r="K251" s="240">
        <v>20403</v>
      </c>
      <c r="L251" s="240">
        <v>20403</v>
      </c>
      <c r="M251" s="240">
        <v>20403</v>
      </c>
    </row>
    <row r="252" spans="1:13" x14ac:dyDescent="0.25">
      <c r="A252" s="227" t="s">
        <v>1062</v>
      </c>
      <c r="B252" s="249" t="s">
        <v>1063</v>
      </c>
      <c r="C252" s="249" t="s">
        <v>1064</v>
      </c>
      <c r="D252" s="240">
        <v>14887</v>
      </c>
      <c r="E252" s="240">
        <v>14887</v>
      </c>
      <c r="F252" s="240">
        <v>14887</v>
      </c>
      <c r="G252" s="240"/>
      <c r="H252" s="240"/>
      <c r="I252" s="240"/>
      <c r="J252" s="240"/>
      <c r="K252" s="240"/>
      <c r="L252" s="240"/>
      <c r="M252" s="240"/>
    </row>
    <row r="253" spans="1:13" x14ac:dyDescent="0.25">
      <c r="A253" s="227" t="s">
        <v>1065</v>
      </c>
      <c r="B253" s="249" t="s">
        <v>578</v>
      </c>
      <c r="C253" s="249" t="s">
        <v>1066</v>
      </c>
      <c r="D253" s="240">
        <v>106076.95058357601</v>
      </c>
      <c r="E253" s="240">
        <v>108781.17347428</v>
      </c>
      <c r="F253" s="240">
        <v>112398.01039719299</v>
      </c>
      <c r="G253" s="240">
        <v>119100.22310435701</v>
      </c>
      <c r="H253" s="240">
        <v>123901.45325113701</v>
      </c>
      <c r="I253" s="240">
        <v>130953.501111626</v>
      </c>
      <c r="J253" s="240">
        <v>137637.28670604801</v>
      </c>
      <c r="K253" s="240">
        <v>144919.00007792999</v>
      </c>
      <c r="L253" s="240">
        <v>152902.03073134899</v>
      </c>
      <c r="M253" s="240">
        <v>161621.87506181101</v>
      </c>
    </row>
    <row r="254" spans="1:13" x14ac:dyDescent="0.25">
      <c r="A254" s="227" t="s">
        <v>801</v>
      </c>
      <c r="B254" s="249"/>
      <c r="C254" s="249"/>
      <c r="D254" s="240"/>
      <c r="E254" s="240"/>
      <c r="F254" s="240"/>
      <c r="G254" s="240"/>
      <c r="H254" s="240"/>
      <c r="I254" s="240"/>
      <c r="J254" s="240"/>
      <c r="K254" s="240"/>
      <c r="L254" s="240"/>
      <c r="M254" s="240"/>
    </row>
    <row r="255" spans="1:13" x14ac:dyDescent="0.25">
      <c r="A255" s="227" t="s">
        <v>1067</v>
      </c>
      <c r="B255" s="249"/>
      <c r="C255" s="249"/>
      <c r="D255" s="240"/>
      <c r="E255" s="240"/>
      <c r="F255" s="240"/>
      <c r="G255" s="240"/>
      <c r="H255" s="240"/>
      <c r="I255" s="240"/>
      <c r="J255" s="240"/>
      <c r="K255" s="240"/>
      <c r="L255" s="240"/>
      <c r="M255" s="240"/>
    </row>
    <row r="256" spans="1:13" x14ac:dyDescent="0.25">
      <c r="A256" s="227" t="s">
        <v>1068</v>
      </c>
      <c r="B256" s="249" t="s">
        <v>612</v>
      </c>
      <c r="C256" s="249" t="s">
        <v>1069</v>
      </c>
      <c r="D256" s="240">
        <v>21221.290815307198</v>
      </c>
      <c r="E256" s="240">
        <v>20673.248290150299</v>
      </c>
      <c r="F256" s="240">
        <v>21266.985513093699</v>
      </c>
      <c r="G256" s="240">
        <v>21284.045562934702</v>
      </c>
      <c r="H256" s="240">
        <v>21716.8931718567</v>
      </c>
      <c r="I256" s="240">
        <v>22169.055470584201</v>
      </c>
      <c r="J256" s="240">
        <v>22656.253882378602</v>
      </c>
      <c r="K256" s="240">
        <v>23130.864028133401</v>
      </c>
      <c r="L256" s="240">
        <v>23646.5547090127</v>
      </c>
      <c r="M256" s="240">
        <v>24185.483998615498</v>
      </c>
    </row>
    <row r="257" spans="1:13" x14ac:dyDescent="0.25">
      <c r="A257" s="227" t="s">
        <v>1070</v>
      </c>
      <c r="B257" s="249" t="s">
        <v>1071</v>
      </c>
      <c r="C257" s="249" t="s">
        <v>1072</v>
      </c>
      <c r="D257" s="240">
        <v>15535.878596509199</v>
      </c>
      <c r="E257" s="240">
        <v>15370.5154744672</v>
      </c>
      <c r="F257" s="240">
        <v>15612.454331925601</v>
      </c>
      <c r="G257" s="240">
        <v>15757.363708623199</v>
      </c>
      <c r="H257" s="240">
        <v>16427.928781237799</v>
      </c>
      <c r="I257" s="240">
        <v>15500.055470584201</v>
      </c>
      <c r="J257" s="240">
        <v>15987.2538823786</v>
      </c>
      <c r="K257" s="240">
        <v>16461.864028133401</v>
      </c>
      <c r="L257" s="240">
        <v>16977.5547090127</v>
      </c>
      <c r="M257" s="240">
        <v>17516.483998615498</v>
      </c>
    </row>
    <row r="258" spans="1:13" x14ac:dyDescent="0.25">
      <c r="A258" s="227" t="s">
        <v>1073</v>
      </c>
      <c r="B258" s="249" t="s">
        <v>1074</v>
      </c>
      <c r="C258" s="249" t="s">
        <v>1075</v>
      </c>
      <c r="D258" s="240">
        <v>680.28571428571399</v>
      </c>
      <c r="E258" s="240">
        <v>680.28571428571399</v>
      </c>
      <c r="F258" s="240">
        <v>575.79999999999995</v>
      </c>
      <c r="G258" s="240">
        <v>332</v>
      </c>
      <c r="H258" s="240">
        <v>332</v>
      </c>
      <c r="I258" s="240">
        <v>332</v>
      </c>
      <c r="J258" s="240">
        <v>332</v>
      </c>
      <c r="K258" s="240">
        <v>332</v>
      </c>
      <c r="L258" s="240">
        <v>332</v>
      </c>
      <c r="M258" s="240">
        <v>332</v>
      </c>
    </row>
    <row r="259" spans="1:13" x14ac:dyDescent="0.25">
      <c r="A259" s="227" t="s">
        <v>1076</v>
      </c>
      <c r="B259" s="249" t="s">
        <v>601</v>
      </c>
      <c r="C259" s="249" t="s">
        <v>1077</v>
      </c>
      <c r="D259" s="240">
        <v>3850.93182233375</v>
      </c>
      <c r="E259" s="240">
        <v>3765.3941255824898</v>
      </c>
      <c r="F259" s="240">
        <v>3641.3364712753601</v>
      </c>
      <c r="G259" s="240">
        <v>4493</v>
      </c>
      <c r="H259" s="240">
        <v>4493</v>
      </c>
      <c r="I259" s="240">
        <v>4493</v>
      </c>
      <c r="J259" s="240">
        <v>4493</v>
      </c>
      <c r="K259" s="240">
        <v>4493</v>
      </c>
      <c r="L259" s="240">
        <v>4493</v>
      </c>
      <c r="M259" s="240">
        <v>4493</v>
      </c>
    </row>
    <row r="260" spans="1:13" x14ac:dyDescent="0.25">
      <c r="A260" s="227" t="s">
        <v>1078</v>
      </c>
      <c r="B260" s="249" t="s">
        <v>1079</v>
      </c>
      <c r="C260" s="249" t="s">
        <v>1080</v>
      </c>
      <c r="D260" s="240">
        <v>1152.50559718012</v>
      </c>
      <c r="E260" s="240">
        <v>1027.9498908760499</v>
      </c>
      <c r="F260" s="240">
        <v>851.81086706820304</v>
      </c>
      <c r="G260" s="240">
        <v>1844</v>
      </c>
      <c r="H260" s="240">
        <v>1844</v>
      </c>
      <c r="I260" s="240">
        <v>1844</v>
      </c>
      <c r="J260" s="240">
        <v>1844</v>
      </c>
      <c r="K260" s="240">
        <v>1844</v>
      </c>
      <c r="L260" s="240">
        <v>1844</v>
      </c>
      <c r="M260" s="240">
        <v>1844</v>
      </c>
    </row>
    <row r="261" spans="1:13" x14ac:dyDescent="0.25">
      <c r="A261" s="227" t="s">
        <v>1081</v>
      </c>
      <c r="B261" s="249" t="s">
        <v>1082</v>
      </c>
      <c r="C261" s="249" t="s">
        <v>1083</v>
      </c>
      <c r="D261" s="240">
        <v>45105</v>
      </c>
      <c r="E261" s="240">
        <v>43621.7445624217</v>
      </c>
      <c r="F261" s="240">
        <v>46105</v>
      </c>
      <c r="G261" s="240">
        <v>46105</v>
      </c>
      <c r="H261" s="240">
        <v>46105</v>
      </c>
      <c r="I261" s="240">
        <v>46105</v>
      </c>
      <c r="J261" s="240">
        <v>46105</v>
      </c>
      <c r="K261" s="240">
        <v>46105</v>
      </c>
      <c r="L261" s="240">
        <v>46105</v>
      </c>
      <c r="M261" s="240">
        <v>46105</v>
      </c>
    </row>
    <row r="262" spans="1:13" x14ac:dyDescent="0.25">
      <c r="A262" s="227" t="s">
        <v>1084</v>
      </c>
      <c r="B262" s="249" t="s">
        <v>1085</v>
      </c>
      <c r="C262" s="249" t="s">
        <v>1086</v>
      </c>
      <c r="D262" s="240">
        <v>39699</v>
      </c>
      <c r="E262" s="240">
        <v>39096.823368726502</v>
      </c>
      <c r="F262" s="240">
        <v>39009</v>
      </c>
      <c r="G262" s="240">
        <v>39065</v>
      </c>
      <c r="H262" s="240">
        <v>39065</v>
      </c>
      <c r="I262" s="240">
        <v>39065</v>
      </c>
      <c r="J262" s="240">
        <v>39065</v>
      </c>
      <c r="K262" s="240">
        <v>39065</v>
      </c>
      <c r="L262" s="240">
        <v>39065</v>
      </c>
      <c r="M262" s="240">
        <v>39065</v>
      </c>
    </row>
    <row r="263" spans="1:13" x14ac:dyDescent="0.25">
      <c r="A263" s="227" t="s">
        <v>1087</v>
      </c>
      <c r="B263" s="249" t="s">
        <v>631</v>
      </c>
      <c r="C263" s="249" t="s">
        <v>1088</v>
      </c>
      <c r="D263" s="240">
        <v>2497.8823039089302</v>
      </c>
      <c r="E263" s="240">
        <v>2595.4158946938901</v>
      </c>
      <c r="F263" s="240">
        <v>2709.9279398910198</v>
      </c>
      <c r="G263" s="240">
        <v>2797.8060547018799</v>
      </c>
      <c r="H263" s="240">
        <v>2879.7728877104801</v>
      </c>
      <c r="I263" s="240">
        <v>2966.2478965345499</v>
      </c>
      <c r="J263" s="240">
        <v>3057.4790308439501</v>
      </c>
      <c r="K263" s="240">
        <v>3153.7278775403702</v>
      </c>
      <c r="L263" s="240">
        <v>3255.2704108050898</v>
      </c>
      <c r="M263" s="240">
        <v>3362.3977833993699</v>
      </c>
    </row>
    <row r="264" spans="1:13" x14ac:dyDescent="0.25">
      <c r="A264" s="227" t="s">
        <v>1089</v>
      </c>
      <c r="B264" s="249" t="s">
        <v>1090</v>
      </c>
      <c r="C264" s="249" t="s">
        <v>1091</v>
      </c>
      <c r="D264" s="240">
        <v>4407.8902383868699</v>
      </c>
      <c r="E264" s="240">
        <v>4419.0109830974698</v>
      </c>
      <c r="F264" s="240">
        <v>4431.1496048642903</v>
      </c>
      <c r="G264" s="240">
        <v>4425</v>
      </c>
      <c r="H264" s="240">
        <v>4425</v>
      </c>
      <c r="I264" s="240">
        <v>4425</v>
      </c>
      <c r="J264" s="240">
        <v>4425</v>
      </c>
      <c r="K264" s="240">
        <v>4425</v>
      </c>
      <c r="L264" s="240">
        <v>4425</v>
      </c>
      <c r="M264" s="240">
        <v>4425</v>
      </c>
    </row>
    <row r="265" spans="1:13" x14ac:dyDescent="0.25">
      <c r="A265" s="227" t="s">
        <v>1092</v>
      </c>
      <c r="B265" s="249" t="s">
        <v>1093</v>
      </c>
      <c r="C265" s="249" t="s">
        <v>1094</v>
      </c>
      <c r="D265" s="240">
        <v>68204.114345488502</v>
      </c>
      <c r="E265" s="240">
        <v>66685.969266912507</v>
      </c>
      <c r="F265" s="240">
        <v>66926.492030437395</v>
      </c>
      <c r="G265" s="240">
        <v>69472.316134969195</v>
      </c>
      <c r="H265" s="240">
        <v>70514.325366734105</v>
      </c>
      <c r="I265" s="240">
        <v>67792.393338504393</v>
      </c>
      <c r="J265" s="240">
        <v>68599.866138862999</v>
      </c>
      <c r="K265" s="240">
        <v>69373.358063510299</v>
      </c>
      <c r="L265" s="240">
        <v>70219.717309313899</v>
      </c>
      <c r="M265" s="240">
        <v>71102.741851483399</v>
      </c>
    </row>
    <row r="266" spans="1:13" x14ac:dyDescent="0.25">
      <c r="A266" s="227" t="s">
        <v>1095</v>
      </c>
      <c r="B266" s="249" t="s">
        <v>1096</v>
      </c>
      <c r="C266" s="249" t="s">
        <v>1097</v>
      </c>
      <c r="D266" s="240">
        <v>56867.897973042302</v>
      </c>
      <c r="E266" s="240">
        <v>60670.5461458024</v>
      </c>
      <c r="F266" s="240">
        <v>68344.320611030897</v>
      </c>
      <c r="G266" s="240">
        <v>49847.988692599101</v>
      </c>
      <c r="H266" s="240">
        <v>53849.675878091803</v>
      </c>
      <c r="I266" s="240">
        <v>62328.197744507299</v>
      </c>
      <c r="J266" s="240">
        <v>68433.553792825798</v>
      </c>
      <c r="K266" s="240">
        <v>75144.408172256299</v>
      </c>
      <c r="L266" s="240">
        <v>82510.205611530793</v>
      </c>
      <c r="M266" s="240">
        <v>90583.993279796399</v>
      </c>
    </row>
    <row r="267" spans="1:13" x14ac:dyDescent="0.25">
      <c r="A267" s="227" t="s">
        <v>1098</v>
      </c>
      <c r="B267" s="249" t="s">
        <v>1099</v>
      </c>
      <c r="C267" s="249" t="s">
        <v>1100</v>
      </c>
      <c r="D267" s="240">
        <v>82036.634683780998</v>
      </c>
      <c r="E267" s="240">
        <v>86254.061043701498</v>
      </c>
      <c r="F267" s="240">
        <v>103380.263482893</v>
      </c>
      <c r="G267" s="240">
        <v>49183.181016173003</v>
      </c>
      <c r="H267" s="240">
        <v>53954.022087881502</v>
      </c>
      <c r="I267" s="240">
        <v>70748.090975253697</v>
      </c>
      <c r="J267" s="240">
        <v>79904.761090710905</v>
      </c>
      <c r="K267" s="240">
        <v>89894.287330078194</v>
      </c>
      <c r="L267" s="240">
        <v>100780.15346817199</v>
      </c>
      <c r="M267" s="240">
        <v>112630.390040938</v>
      </c>
    </row>
    <row r="268" spans="1:13" x14ac:dyDescent="0.25">
      <c r="A268" s="227" t="s">
        <v>1101</v>
      </c>
      <c r="B268" s="249" t="s">
        <v>646</v>
      </c>
      <c r="C268" s="249" t="s">
        <v>1102</v>
      </c>
      <c r="D268" s="240">
        <v>82621.853333333303</v>
      </c>
      <c r="E268" s="240">
        <v>82718.301533333302</v>
      </c>
      <c r="F268" s="240">
        <v>113910.1881305</v>
      </c>
      <c r="G268" s="240"/>
      <c r="H268" s="240"/>
      <c r="I268" s="240"/>
      <c r="J268" s="240"/>
      <c r="K268" s="240"/>
      <c r="L268" s="240"/>
      <c r="M268" s="240"/>
    </row>
    <row r="269" spans="1:13" x14ac:dyDescent="0.25">
      <c r="A269" s="227" t="s">
        <v>1103</v>
      </c>
      <c r="B269" s="249" t="s">
        <v>650</v>
      </c>
      <c r="C269" s="249" t="s">
        <v>1104</v>
      </c>
      <c r="D269" s="240">
        <v>84813.320558748193</v>
      </c>
      <c r="E269" s="240">
        <v>90069.212064192994</v>
      </c>
      <c r="F269" s="240">
        <v>94324.619367636697</v>
      </c>
      <c r="G269" s="240"/>
      <c r="H269" s="240"/>
      <c r="I269" s="240"/>
      <c r="J269" s="240"/>
      <c r="K269" s="240"/>
      <c r="L269" s="240"/>
      <c r="M269" s="240"/>
    </row>
    <row r="270" spans="1:13" x14ac:dyDescent="0.25">
      <c r="A270" s="227" t="s">
        <v>1105</v>
      </c>
      <c r="B270" s="249" t="s">
        <v>1106</v>
      </c>
      <c r="C270" s="249" t="s">
        <v>1107</v>
      </c>
      <c r="D270" s="240">
        <v>-13974.516207333199</v>
      </c>
      <c r="E270" s="240">
        <v>-13888.112435380101</v>
      </c>
      <c r="F270" s="240">
        <v>-13677.453902032499</v>
      </c>
      <c r="G270" s="240"/>
      <c r="H270" s="240"/>
      <c r="I270" s="240"/>
      <c r="J270" s="240"/>
      <c r="K270" s="240"/>
      <c r="L270" s="240"/>
      <c r="M270" s="240"/>
    </row>
    <row r="271" spans="1:13" x14ac:dyDescent="0.25">
      <c r="A271" s="227" t="s">
        <v>1108</v>
      </c>
      <c r="B271" s="249" t="s">
        <v>656</v>
      </c>
      <c r="C271" s="249" t="s">
        <v>1109</v>
      </c>
      <c r="D271" s="240">
        <v>1949.82837764583</v>
      </c>
      <c r="E271" s="240">
        <v>1995.6232435024499</v>
      </c>
      <c r="F271" s="240">
        <v>2290.6953053791499</v>
      </c>
      <c r="G271" s="240">
        <v>2370.2647355764698</v>
      </c>
      <c r="H271" s="240">
        <v>2450.9533155526101</v>
      </c>
      <c r="I271" s="240">
        <v>2557.4176096117299</v>
      </c>
      <c r="J271" s="240">
        <v>2660.4622971816598</v>
      </c>
      <c r="K271" s="240">
        <v>2770.46641557373</v>
      </c>
      <c r="L271" s="240">
        <v>2887.8831857697701</v>
      </c>
      <c r="M271" s="240">
        <v>3013.1951040895901</v>
      </c>
    </row>
    <row r="272" spans="1:13" x14ac:dyDescent="0.25">
      <c r="A272" s="227" t="s">
        <v>1065</v>
      </c>
      <c r="B272" s="249" t="s">
        <v>578</v>
      </c>
      <c r="C272" s="249" t="s">
        <v>1066</v>
      </c>
      <c r="D272" s="240">
        <v>106076.95058357601</v>
      </c>
      <c r="E272" s="240">
        <v>108781.17347428</v>
      </c>
      <c r="F272" s="240">
        <v>112398.01039719299</v>
      </c>
      <c r="G272" s="240">
        <v>119100.22310435701</v>
      </c>
      <c r="H272" s="240">
        <v>123901.45325113701</v>
      </c>
      <c r="I272" s="240">
        <v>130953.501111626</v>
      </c>
      <c r="J272" s="240">
        <v>137637.28670604801</v>
      </c>
      <c r="K272" s="240">
        <v>144919.00007792999</v>
      </c>
      <c r="L272" s="240">
        <v>152902.03073134899</v>
      </c>
      <c r="M272" s="240">
        <v>161621.87506181101</v>
      </c>
    </row>
    <row r="273" spans="1:13" x14ac:dyDescent="0.25">
      <c r="A273" s="227" t="s">
        <v>801</v>
      </c>
      <c r="B273" s="249"/>
      <c r="C273" s="249"/>
      <c r="D273" s="240"/>
      <c r="E273" s="240"/>
      <c r="F273" s="240"/>
      <c r="G273" s="240"/>
      <c r="H273" s="240"/>
      <c r="I273" s="240"/>
      <c r="J273" s="240"/>
      <c r="K273" s="240"/>
      <c r="L273" s="240"/>
      <c r="M273" s="240"/>
    </row>
    <row r="274" spans="1:13" x14ac:dyDescent="0.25">
      <c r="A274" s="227" t="s">
        <v>1110</v>
      </c>
      <c r="B274" s="249"/>
      <c r="C274" s="249"/>
      <c r="D274" s="240"/>
      <c r="E274" s="240"/>
      <c r="F274" s="240"/>
      <c r="G274" s="240"/>
      <c r="H274" s="240"/>
      <c r="I274" s="240"/>
      <c r="J274" s="240"/>
      <c r="K274" s="240"/>
      <c r="L274" s="240"/>
      <c r="M274" s="240"/>
    </row>
    <row r="275" spans="1:13" x14ac:dyDescent="0.25">
      <c r="A275" s="227" t="s">
        <v>1111</v>
      </c>
      <c r="B275" s="249" t="s">
        <v>1112</v>
      </c>
      <c r="C275" s="249" t="s">
        <v>1113</v>
      </c>
      <c r="D275" s="240">
        <v>1.55731808296527</v>
      </c>
      <c r="E275" s="240">
        <v>1.3583345600319301</v>
      </c>
      <c r="F275" s="240">
        <v>1.2597267993586401</v>
      </c>
      <c r="G275" s="240">
        <v>0.98467602248633901</v>
      </c>
      <c r="H275" s="240">
        <v>0.80008765824922501</v>
      </c>
      <c r="I275" s="240">
        <v>0.37740036780686997</v>
      </c>
      <c r="J275" s="240">
        <v>0.15877649113537501</v>
      </c>
      <c r="K275" s="240">
        <v>-5.6168261313216603E-2</v>
      </c>
      <c r="L275" s="240">
        <v>-0.267508009557825</v>
      </c>
      <c r="M275" s="240">
        <v>-0.47538332779440701</v>
      </c>
    </row>
    <row r="276" spans="1:13" x14ac:dyDescent="0.25">
      <c r="A276" s="227" t="s">
        <v>1114</v>
      </c>
      <c r="B276" s="249" t="s">
        <v>676</v>
      </c>
      <c r="C276" s="249" t="s">
        <v>1115</v>
      </c>
      <c r="D276" s="240">
        <v>27003.301534218099</v>
      </c>
      <c r="E276" s="240">
        <v>25138.4351249137</v>
      </c>
      <c r="F276" s="240">
        <v>25121.940099261799</v>
      </c>
      <c r="G276" s="240">
        <v>14737.5992260939</v>
      </c>
      <c r="H276" s="240">
        <v>9112.0593293138209</v>
      </c>
      <c r="I276" s="240">
        <v>2875.3332530458301</v>
      </c>
      <c r="J276" s="240">
        <v>-4022.0661586797701</v>
      </c>
      <c r="K276" s="240">
        <v>-11633.281163104</v>
      </c>
      <c r="L276" s="240">
        <v>-20015.367797090199</v>
      </c>
      <c r="M276" s="240">
        <v>-29229.5724690516</v>
      </c>
    </row>
    <row r="277" spans="1:13" x14ac:dyDescent="0.25">
      <c r="A277" s="227" t="s">
        <v>1116</v>
      </c>
      <c r="B277" s="249" t="s">
        <v>1117</v>
      </c>
      <c r="C277" s="249" t="s">
        <v>1118</v>
      </c>
      <c r="D277" s="240">
        <v>43073.719226922003</v>
      </c>
      <c r="E277" s="240">
        <v>41791.336136351099</v>
      </c>
      <c r="F277" s="240">
        <v>43220.410040383103</v>
      </c>
      <c r="G277" s="240">
        <v>43691</v>
      </c>
      <c r="H277" s="240">
        <v>43691</v>
      </c>
      <c r="I277" s="240">
        <v>43890</v>
      </c>
      <c r="J277" s="240">
        <v>43890</v>
      </c>
      <c r="K277" s="240">
        <v>43890</v>
      </c>
      <c r="L277" s="240">
        <v>43890</v>
      </c>
      <c r="M277" s="240">
        <v>43890</v>
      </c>
    </row>
    <row r="278" spans="1:13" x14ac:dyDescent="0.25">
      <c r="A278" s="227" t="s">
        <v>1119</v>
      </c>
      <c r="B278" s="249" t="s">
        <v>333</v>
      </c>
      <c r="C278" s="249" t="s">
        <v>1120</v>
      </c>
      <c r="D278" s="240"/>
      <c r="E278" s="240"/>
      <c r="F278" s="240"/>
      <c r="G278" s="240"/>
      <c r="H278" s="240"/>
      <c r="I278" s="240"/>
      <c r="J278" s="240"/>
      <c r="K278" s="240"/>
      <c r="L278" s="240"/>
      <c r="M278" s="240"/>
    </row>
    <row r="279" spans="1:13" x14ac:dyDescent="0.25">
      <c r="A279" s="227" t="s">
        <v>1121</v>
      </c>
      <c r="B279" s="249" t="s">
        <v>1122</v>
      </c>
      <c r="C279" s="249" t="s">
        <v>1123</v>
      </c>
      <c r="D279" s="240"/>
      <c r="E279" s="240"/>
      <c r="F279" s="240"/>
      <c r="G279" s="240"/>
      <c r="H279" s="240"/>
      <c r="I279" s="240"/>
      <c r="J279" s="240"/>
      <c r="K279" s="240"/>
      <c r="L279" s="240"/>
      <c r="M279" s="240"/>
    </row>
    <row r="280" spans="1:13" x14ac:dyDescent="0.25">
      <c r="A280" s="227" t="s">
        <v>1124</v>
      </c>
      <c r="B280" s="249"/>
      <c r="C280" s="249"/>
      <c r="D280" s="240"/>
      <c r="E280" s="240"/>
      <c r="F280" s="240"/>
      <c r="G280" s="240"/>
      <c r="H280" s="240"/>
      <c r="I280" s="240"/>
      <c r="J280" s="240"/>
      <c r="K280" s="240"/>
      <c r="L280" s="240"/>
      <c r="M280" s="240"/>
    </row>
    <row r="281" spans="1:13" x14ac:dyDescent="0.25">
      <c r="A281" s="227" t="s">
        <v>1125</v>
      </c>
      <c r="B281" s="249" t="s">
        <v>1126</v>
      </c>
      <c r="C281" s="249" t="s">
        <v>1127</v>
      </c>
      <c r="D281" s="240">
        <v>13.0714285714286</v>
      </c>
      <c r="E281" s="240">
        <v>13.484285714285701</v>
      </c>
      <c r="F281" s="240">
        <v>13.666</v>
      </c>
      <c r="G281" s="240">
        <v>13.66</v>
      </c>
      <c r="H281" s="240">
        <v>13.895</v>
      </c>
      <c r="I281" s="240">
        <v>13.84</v>
      </c>
      <c r="J281" s="240">
        <v>13.86</v>
      </c>
      <c r="K281" s="240">
        <v>13.87</v>
      </c>
      <c r="L281" s="240">
        <v>13.85</v>
      </c>
      <c r="M281" s="240">
        <v>13.82</v>
      </c>
    </row>
    <row r="282" spans="1:13" x14ac:dyDescent="0.25">
      <c r="A282" s="227" t="s">
        <v>1128</v>
      </c>
      <c r="B282" s="249" t="s">
        <v>1129</v>
      </c>
      <c r="C282" s="249" t="s">
        <v>1130</v>
      </c>
      <c r="D282" s="240">
        <v>39.930833333333297</v>
      </c>
      <c r="E282" s="240">
        <v>38.46</v>
      </c>
      <c r="F282" s="240">
        <v>37.712222222222202</v>
      </c>
      <c r="G282" s="240">
        <v>33.92</v>
      </c>
      <c r="H282" s="240">
        <v>33.055</v>
      </c>
      <c r="I282" s="240">
        <v>28.77</v>
      </c>
      <c r="J282" s="240">
        <v>27.16</v>
      </c>
      <c r="K282" s="240">
        <v>25.74</v>
      </c>
      <c r="L282" s="240">
        <v>24.48</v>
      </c>
      <c r="M282" s="240">
        <v>23.36</v>
      </c>
    </row>
    <row r="283" spans="1:13" x14ac:dyDescent="0.25">
      <c r="A283" s="227" t="s">
        <v>1131</v>
      </c>
      <c r="B283" s="249" t="s">
        <v>1132</v>
      </c>
      <c r="C283" s="249" t="s">
        <v>1133</v>
      </c>
      <c r="D283" s="240">
        <v>27.652580290442501</v>
      </c>
      <c r="E283" s="240">
        <v>28.4235929903891</v>
      </c>
      <c r="F283" s="240">
        <v>29.908371047359399</v>
      </c>
      <c r="G283" s="240">
        <v>24.6433746038078</v>
      </c>
      <c r="H283" s="240">
        <v>24.6433746038078</v>
      </c>
      <c r="I283" s="240">
        <v>24.6433746038078</v>
      </c>
      <c r="J283" s="240">
        <v>24.6433746038078</v>
      </c>
      <c r="K283" s="240">
        <v>24.6433746038078</v>
      </c>
      <c r="L283" s="240">
        <v>24.6433746038078</v>
      </c>
      <c r="M283" s="240">
        <v>24.6433746038078</v>
      </c>
    </row>
    <row r="284" spans="1:13" x14ac:dyDescent="0.25">
      <c r="A284" s="227" t="s">
        <v>1134</v>
      </c>
      <c r="B284" s="249" t="s">
        <v>682</v>
      </c>
      <c r="C284" s="249" t="s">
        <v>1135</v>
      </c>
      <c r="D284" s="240">
        <v>1.3928100497032601</v>
      </c>
      <c r="E284" s="240">
        <v>1.4953298609332499</v>
      </c>
      <c r="F284" s="240">
        <v>1.52947993625951</v>
      </c>
      <c r="G284" s="240">
        <v>1.98383465271385</v>
      </c>
      <c r="H284" s="240">
        <v>2.15389156872754</v>
      </c>
      <c r="I284" s="240">
        <v>2.33730738894472</v>
      </c>
      <c r="J284" s="240">
        <v>2.5335097019391899</v>
      </c>
      <c r="K284" s="240">
        <v>2.7462481839018</v>
      </c>
      <c r="L284" s="240">
        <v>2.97235061645079</v>
      </c>
      <c r="M284" s="240">
        <v>3.2135074343614201</v>
      </c>
    </row>
    <row r="285" spans="1:13" x14ac:dyDescent="0.25">
      <c r="A285" s="227" t="s">
        <v>1136</v>
      </c>
      <c r="B285" s="249" t="s">
        <v>1137</v>
      </c>
      <c r="C285" s="249" t="s">
        <v>1138</v>
      </c>
      <c r="D285" s="240">
        <v>8.65255410508653</v>
      </c>
      <c r="E285" s="240">
        <v>9.8696425786955793</v>
      </c>
      <c r="F285" s="240">
        <v>11.2682479019218</v>
      </c>
      <c r="G285" s="240">
        <v>12.715100425928901</v>
      </c>
      <c r="H285" s="240">
        <v>14.4967559683317</v>
      </c>
      <c r="I285" s="240">
        <v>16.4453953917373</v>
      </c>
      <c r="J285" s="240">
        <v>18.5738635729221</v>
      </c>
      <c r="K285" s="240">
        <v>20.895929179469601</v>
      </c>
      <c r="L285" s="240">
        <v>23.426349016311399</v>
      </c>
      <c r="M285" s="240">
        <v>26.180936783109701</v>
      </c>
    </row>
    <row r="286" spans="1:13" x14ac:dyDescent="0.25">
      <c r="A286" s="227" t="s">
        <v>1139</v>
      </c>
      <c r="B286" s="249" t="s">
        <v>1140</v>
      </c>
      <c r="C286" s="249" t="s">
        <v>1141</v>
      </c>
      <c r="D286" s="240">
        <v>1141</v>
      </c>
      <c r="E286" s="240">
        <v>1012</v>
      </c>
      <c r="F286" s="240">
        <v>883</v>
      </c>
      <c r="G286" s="240"/>
      <c r="H286" s="240"/>
      <c r="I286" s="240"/>
      <c r="J286" s="240"/>
      <c r="K286" s="240"/>
      <c r="L286" s="240"/>
      <c r="M286" s="240"/>
    </row>
    <row r="287" spans="1:13" x14ac:dyDescent="0.25">
      <c r="A287" s="227" t="s">
        <v>1142</v>
      </c>
      <c r="B287" s="249" t="s">
        <v>1143</v>
      </c>
      <c r="C287" s="249" t="s">
        <v>1144</v>
      </c>
      <c r="D287" s="240">
        <v>24.532670126519399</v>
      </c>
      <c r="E287" s="240">
        <v>40.994410772774401</v>
      </c>
      <c r="F287" s="240">
        <v>48.638871581151903</v>
      </c>
      <c r="G287" s="240"/>
      <c r="H287" s="240"/>
      <c r="I287" s="240"/>
      <c r="J287" s="240"/>
      <c r="K287" s="240"/>
      <c r="L287" s="240"/>
      <c r="M287" s="240"/>
    </row>
    <row r="288" spans="1:13" x14ac:dyDescent="0.25">
      <c r="A288" s="227" t="s">
        <v>801</v>
      </c>
      <c r="B288" s="249"/>
      <c r="C288" s="249"/>
      <c r="D288" s="240"/>
      <c r="E288" s="240"/>
      <c r="F288" s="240"/>
      <c r="G288" s="240"/>
      <c r="H288" s="240"/>
      <c r="I288" s="240"/>
      <c r="J288" s="240"/>
      <c r="K288" s="240"/>
      <c r="L288" s="240"/>
      <c r="M288" s="240"/>
    </row>
    <row r="289" spans="1:13" x14ac:dyDescent="0.25">
      <c r="A289" s="227" t="s">
        <v>1145</v>
      </c>
      <c r="B289" s="249"/>
      <c r="C289" s="249"/>
      <c r="D289" s="240"/>
      <c r="E289" s="240"/>
      <c r="F289" s="240"/>
      <c r="G289" s="240"/>
      <c r="H289" s="240"/>
      <c r="I289" s="240"/>
      <c r="J289" s="240"/>
      <c r="K289" s="240"/>
      <c r="L289" s="240"/>
      <c r="M289" s="240"/>
    </row>
    <row r="290" spans="1:13" x14ac:dyDescent="0.25">
      <c r="A290" s="227" t="s">
        <v>1146</v>
      </c>
      <c r="B290" s="249"/>
      <c r="C290" s="249"/>
      <c r="D290" s="240"/>
      <c r="E290" s="240"/>
      <c r="F290" s="240"/>
      <c r="G290" s="240"/>
      <c r="H290" s="240"/>
      <c r="I290" s="240"/>
      <c r="J290" s="240"/>
      <c r="K290" s="240"/>
      <c r="L290" s="240"/>
      <c r="M290" s="240"/>
    </row>
    <row r="291" spans="1:13" x14ac:dyDescent="0.25">
      <c r="A291" s="227" t="s">
        <v>1012</v>
      </c>
      <c r="B291" s="249" t="s">
        <v>1013</v>
      </c>
      <c r="C291" s="249" t="s">
        <v>1014</v>
      </c>
      <c r="D291" s="240">
        <v>14106</v>
      </c>
      <c r="E291" s="240">
        <v>14963.9</v>
      </c>
      <c r="F291" s="240">
        <v>15860.4285714286</v>
      </c>
      <c r="G291" s="240">
        <v>16699.333333333299</v>
      </c>
      <c r="H291" s="240">
        <v>17723</v>
      </c>
      <c r="I291" s="240">
        <v>19234.5</v>
      </c>
      <c r="J291" s="240">
        <v>20492.5</v>
      </c>
      <c r="K291" s="240">
        <v>21833</v>
      </c>
      <c r="L291" s="240">
        <v>23259.5</v>
      </c>
      <c r="M291" s="240">
        <v>24779</v>
      </c>
    </row>
    <row r="292" spans="1:13" x14ac:dyDescent="0.25">
      <c r="A292" s="227" t="s">
        <v>1147</v>
      </c>
      <c r="B292" s="249" t="s">
        <v>693</v>
      </c>
      <c r="C292" s="249" t="s">
        <v>915</v>
      </c>
      <c r="D292" s="240">
        <v>1109.3889447853601</v>
      </c>
      <c r="E292" s="240">
        <v>1202.9149074174099</v>
      </c>
      <c r="F292" s="240">
        <v>1275.04072834978</v>
      </c>
      <c r="G292" s="240">
        <v>1686.4494743540799</v>
      </c>
      <c r="H292" s="240">
        <v>1766.9138111545201</v>
      </c>
      <c r="I292" s="240">
        <v>1851.3869778579499</v>
      </c>
      <c r="J292" s="240">
        <v>1943.4361867799701</v>
      </c>
      <c r="K292" s="240">
        <v>2033.6449739095599</v>
      </c>
      <c r="L292" s="240">
        <v>2131.4856497126402</v>
      </c>
      <c r="M292" s="240">
        <v>2234.2439775184898</v>
      </c>
    </row>
    <row r="293" spans="1:13" x14ac:dyDescent="0.25">
      <c r="A293" s="227" t="s">
        <v>1148</v>
      </c>
      <c r="B293" s="249" t="s">
        <v>920</v>
      </c>
      <c r="C293" s="249" t="s">
        <v>921</v>
      </c>
      <c r="D293" s="240">
        <v>97.273268007548495</v>
      </c>
      <c r="E293" s="240">
        <v>96.810375399293605</v>
      </c>
      <c r="F293" s="240">
        <v>92</v>
      </c>
      <c r="G293" s="240">
        <v>91</v>
      </c>
      <c r="H293" s="240">
        <v>90</v>
      </c>
      <c r="I293" s="240"/>
      <c r="J293" s="240"/>
      <c r="K293" s="240"/>
      <c r="L293" s="240"/>
      <c r="M293" s="240"/>
    </row>
    <row r="294" spans="1:13" x14ac:dyDescent="0.25">
      <c r="A294" s="227" t="s">
        <v>1149</v>
      </c>
      <c r="B294" s="249" t="s">
        <v>1150</v>
      </c>
      <c r="C294" s="249" t="s">
        <v>1151</v>
      </c>
      <c r="D294" s="240">
        <v>274.786053777061</v>
      </c>
      <c r="E294" s="240">
        <v>288.82735343478402</v>
      </c>
      <c r="F294" s="240">
        <v>310.49006530168401</v>
      </c>
      <c r="G294" s="240">
        <v>285.66190562250603</v>
      </c>
      <c r="H294" s="240">
        <v>298.69615428104999</v>
      </c>
      <c r="I294" s="240">
        <v>312.354103255111</v>
      </c>
      <c r="J294" s="240">
        <v>326.32353140999197</v>
      </c>
      <c r="K294" s="240">
        <v>340.54365352681702</v>
      </c>
      <c r="L294" s="240">
        <v>356.22349093674302</v>
      </c>
      <c r="M294" s="240">
        <v>372.66130864733998</v>
      </c>
    </row>
    <row r="295" spans="1:13" x14ac:dyDescent="0.25">
      <c r="A295" s="227" t="s">
        <v>1152</v>
      </c>
      <c r="B295" s="249" t="s">
        <v>1153</v>
      </c>
      <c r="C295" s="249" t="s">
        <v>1154</v>
      </c>
      <c r="D295" s="240">
        <v>-134.6</v>
      </c>
      <c r="E295" s="240">
        <v>-713</v>
      </c>
      <c r="F295" s="240">
        <v>-713</v>
      </c>
      <c r="G295" s="240"/>
      <c r="H295" s="240"/>
      <c r="I295" s="240"/>
      <c r="J295" s="240"/>
      <c r="K295" s="240"/>
      <c r="L295" s="240"/>
      <c r="M295" s="240"/>
    </row>
    <row r="296" spans="1:13" x14ac:dyDescent="0.25">
      <c r="A296" s="227" t="s">
        <v>1155</v>
      </c>
      <c r="B296" s="249" t="s">
        <v>1156</v>
      </c>
      <c r="C296" s="249" t="s">
        <v>1157</v>
      </c>
      <c r="D296" s="240">
        <v>64.599999999999994</v>
      </c>
      <c r="E296" s="240">
        <v>191</v>
      </c>
      <c r="F296" s="240">
        <v>191</v>
      </c>
      <c r="G296" s="240"/>
      <c r="H296" s="240"/>
      <c r="I296" s="240"/>
      <c r="J296" s="240"/>
      <c r="K296" s="240"/>
      <c r="L296" s="240"/>
      <c r="M296" s="240"/>
    </row>
    <row r="297" spans="1:13" x14ac:dyDescent="0.25">
      <c r="A297" s="227" t="s">
        <v>1158</v>
      </c>
      <c r="B297" s="249" t="s">
        <v>699</v>
      </c>
      <c r="C297" s="249" t="s">
        <v>1159</v>
      </c>
      <c r="D297" s="240">
        <v>55.169686254287797</v>
      </c>
      <c r="E297" s="240">
        <v>179.272725426558</v>
      </c>
      <c r="F297" s="240">
        <v>190.032090478665</v>
      </c>
      <c r="G297" s="240"/>
      <c r="H297" s="240"/>
      <c r="I297" s="240"/>
      <c r="J297" s="240"/>
      <c r="K297" s="240"/>
      <c r="L297" s="240"/>
      <c r="M297" s="240"/>
    </row>
    <row r="298" spans="1:13" x14ac:dyDescent="0.25">
      <c r="A298" s="227" t="s">
        <v>1160</v>
      </c>
      <c r="B298" s="249" t="s">
        <v>1161</v>
      </c>
      <c r="C298" s="249" t="s">
        <v>1162</v>
      </c>
      <c r="D298" s="240">
        <v>-1024.2798775877</v>
      </c>
      <c r="E298" s="240">
        <v>-1163.01020627911</v>
      </c>
      <c r="F298" s="240">
        <v>-1195.67522860435</v>
      </c>
      <c r="G298" s="240"/>
      <c r="H298" s="240"/>
      <c r="I298" s="240"/>
      <c r="J298" s="240"/>
      <c r="K298" s="240"/>
      <c r="L298" s="240"/>
      <c r="M298" s="240"/>
    </row>
    <row r="299" spans="1:13" x14ac:dyDescent="0.25">
      <c r="A299" s="227" t="s">
        <v>1163</v>
      </c>
      <c r="B299" s="249" t="s">
        <v>703</v>
      </c>
      <c r="C299" s="249" t="s">
        <v>1164</v>
      </c>
      <c r="D299" s="240">
        <v>-386.20774552156303</v>
      </c>
      <c r="E299" s="240">
        <v>-538.11052542802497</v>
      </c>
      <c r="F299" s="240">
        <v>-401.82075932003301</v>
      </c>
      <c r="G299" s="240">
        <v>-48.006737177886002</v>
      </c>
      <c r="H299" s="240">
        <v>-53.171221410499101</v>
      </c>
      <c r="I299" s="240">
        <v>-57.353803341520702</v>
      </c>
      <c r="J299" s="240">
        <v>-71.983242280475693</v>
      </c>
      <c r="K299" s="240">
        <v>-65.1196685448176</v>
      </c>
      <c r="L299" s="240">
        <v>-72.123438921811598</v>
      </c>
      <c r="M299" s="240">
        <v>-77.5984459826213</v>
      </c>
    </row>
    <row r="300" spans="1:13" x14ac:dyDescent="0.25">
      <c r="A300" s="227" t="s">
        <v>1165</v>
      </c>
      <c r="B300" s="249" t="s">
        <v>1166</v>
      </c>
      <c r="C300" s="249" t="s">
        <v>1167</v>
      </c>
      <c r="D300" s="240">
        <v>13687.696120135301</v>
      </c>
      <c r="E300" s="240">
        <v>15046.204928158</v>
      </c>
      <c r="F300" s="240">
        <v>16552.208802397101</v>
      </c>
      <c r="G300" s="240">
        <v>18693.223732543898</v>
      </c>
      <c r="H300" s="240">
        <v>19883.212197676199</v>
      </c>
      <c r="I300" s="240">
        <v>21151.4385440531</v>
      </c>
      <c r="J300" s="240">
        <v>22498.6033723695</v>
      </c>
      <c r="K300" s="240">
        <v>23936.300569908501</v>
      </c>
      <c r="L300" s="240">
        <v>25461.761964240399</v>
      </c>
      <c r="M300" s="240">
        <v>27085.487443520698</v>
      </c>
    </row>
    <row r="301" spans="1:13" x14ac:dyDescent="0.25">
      <c r="A301" s="227" t="s">
        <v>801</v>
      </c>
      <c r="B301" s="249"/>
      <c r="C301" s="249"/>
      <c r="D301" s="240"/>
      <c r="E301" s="240"/>
      <c r="F301" s="240"/>
      <c r="G301" s="240"/>
      <c r="H301" s="240"/>
      <c r="I301" s="240"/>
      <c r="J301" s="240"/>
      <c r="K301" s="240"/>
      <c r="L301" s="240"/>
      <c r="M301" s="240"/>
    </row>
    <row r="302" spans="1:13" x14ac:dyDescent="0.25">
      <c r="A302" s="227" t="s">
        <v>1168</v>
      </c>
      <c r="B302" s="249"/>
      <c r="C302" s="249"/>
      <c r="D302" s="240"/>
      <c r="E302" s="240"/>
      <c r="F302" s="240"/>
      <c r="G302" s="240"/>
      <c r="H302" s="240"/>
      <c r="I302" s="240"/>
      <c r="J302" s="240"/>
      <c r="K302" s="240"/>
      <c r="L302" s="240"/>
      <c r="M302" s="240"/>
    </row>
    <row r="303" spans="1:13" x14ac:dyDescent="0.25">
      <c r="A303" s="227" t="s">
        <v>1169</v>
      </c>
      <c r="B303" s="249" t="s">
        <v>1170</v>
      </c>
      <c r="C303" s="249" t="s">
        <v>1171</v>
      </c>
      <c r="D303" s="240">
        <v>-1459</v>
      </c>
      <c r="E303" s="240"/>
      <c r="F303" s="240"/>
      <c r="G303" s="240"/>
      <c r="H303" s="240"/>
      <c r="I303" s="240"/>
      <c r="J303" s="240"/>
      <c r="K303" s="240"/>
      <c r="L303" s="240"/>
      <c r="M303" s="240"/>
    </row>
    <row r="304" spans="1:13" x14ac:dyDescent="0.25">
      <c r="A304" s="227" t="s">
        <v>1172</v>
      </c>
      <c r="B304" s="249" t="s">
        <v>838</v>
      </c>
      <c r="C304" s="249" t="s">
        <v>839</v>
      </c>
      <c r="D304" s="240">
        <v>-2201.7142857142899</v>
      </c>
      <c r="E304" s="240">
        <v>-2148.3571428571399</v>
      </c>
      <c r="F304" s="240">
        <v>-2185.3636363636401</v>
      </c>
      <c r="G304" s="240">
        <v>-2127.5</v>
      </c>
      <c r="H304" s="240">
        <v>-2166.5</v>
      </c>
      <c r="I304" s="240">
        <v>-2327.3333333333298</v>
      </c>
      <c r="J304" s="240">
        <v>-2440.3333333333298</v>
      </c>
      <c r="K304" s="240">
        <v>-2554.6666666666702</v>
      </c>
      <c r="L304" s="240">
        <v>-2815.5</v>
      </c>
      <c r="M304" s="240">
        <v>-2954.5</v>
      </c>
    </row>
    <row r="305" spans="1:13" x14ac:dyDescent="0.25">
      <c r="A305" s="227" t="s">
        <v>1173</v>
      </c>
      <c r="B305" s="249" t="s">
        <v>1174</v>
      </c>
      <c r="C305" s="249" t="s">
        <v>1175</v>
      </c>
      <c r="D305" s="240">
        <v>4.44444310404986</v>
      </c>
      <c r="E305" s="240">
        <v>4.3477806579869798</v>
      </c>
      <c r="F305" s="240">
        <v>4.2680280599905096</v>
      </c>
      <c r="G305" s="240">
        <v>3.95984209655649</v>
      </c>
      <c r="H305" s="240">
        <v>3.7598420965564898</v>
      </c>
      <c r="I305" s="240">
        <v>3.7598420965564898</v>
      </c>
      <c r="J305" s="240">
        <v>3.7598420965564898</v>
      </c>
      <c r="K305" s="240">
        <v>3.7598420965564898</v>
      </c>
      <c r="L305" s="240">
        <v>3.7598420965564898</v>
      </c>
      <c r="M305" s="240">
        <v>3.7598420965564898</v>
      </c>
    </row>
    <row r="306" spans="1:13" x14ac:dyDescent="0.25">
      <c r="A306" s="227" t="s">
        <v>1176</v>
      </c>
      <c r="B306" s="249" t="s">
        <v>714</v>
      </c>
      <c r="C306" s="249" t="s">
        <v>1177</v>
      </c>
      <c r="D306" s="240">
        <v>2</v>
      </c>
      <c r="E306" s="240"/>
      <c r="F306" s="240"/>
      <c r="G306" s="240"/>
      <c r="H306" s="240"/>
      <c r="I306" s="240"/>
      <c r="J306" s="240"/>
      <c r="K306" s="240"/>
      <c r="L306" s="240"/>
      <c r="M306" s="240"/>
    </row>
    <row r="307" spans="1:13" x14ac:dyDescent="0.25">
      <c r="A307" s="227" t="s">
        <v>1178</v>
      </c>
      <c r="B307" s="249" t="s">
        <v>734</v>
      </c>
      <c r="C307" s="249" t="s">
        <v>1179</v>
      </c>
      <c r="D307" s="240">
        <v>-37</v>
      </c>
      <c r="E307" s="240"/>
      <c r="F307" s="240"/>
      <c r="G307" s="240"/>
      <c r="H307" s="240"/>
      <c r="I307" s="240"/>
      <c r="J307" s="240"/>
      <c r="K307" s="240"/>
      <c r="L307" s="240"/>
      <c r="M307" s="240"/>
    </row>
    <row r="308" spans="1:13" x14ac:dyDescent="0.25">
      <c r="A308" s="227" t="s">
        <v>1180</v>
      </c>
      <c r="B308" s="249" t="s">
        <v>732</v>
      </c>
      <c r="C308" s="249" t="s">
        <v>1181</v>
      </c>
      <c r="D308" s="240">
        <v>1129.3440000000001</v>
      </c>
      <c r="E308" s="240"/>
      <c r="F308" s="240"/>
      <c r="G308" s="240"/>
      <c r="H308" s="240"/>
      <c r="I308" s="240"/>
      <c r="J308" s="240"/>
      <c r="K308" s="240"/>
      <c r="L308" s="240"/>
      <c r="M308" s="240"/>
    </row>
    <row r="309" spans="1:13" x14ac:dyDescent="0.25">
      <c r="A309" s="227" t="s">
        <v>1182</v>
      </c>
      <c r="B309" s="249" t="s">
        <v>1183</v>
      </c>
      <c r="C309" s="249" t="s">
        <v>1184</v>
      </c>
      <c r="D309" s="240">
        <v>3</v>
      </c>
      <c r="E309" s="240"/>
      <c r="F309" s="240"/>
      <c r="G309" s="240"/>
      <c r="H309" s="240"/>
      <c r="I309" s="240"/>
      <c r="J309" s="240"/>
      <c r="K309" s="240"/>
      <c r="L309" s="240"/>
      <c r="M309" s="240"/>
    </row>
    <row r="310" spans="1:13" x14ac:dyDescent="0.25">
      <c r="A310" s="227" t="s">
        <v>1185</v>
      </c>
      <c r="B310" s="249" t="s">
        <v>1186</v>
      </c>
      <c r="C310" s="249" t="s">
        <v>1187</v>
      </c>
      <c r="D310" s="240">
        <v>1379.2660731762601</v>
      </c>
      <c r="E310" s="240">
        <v>-2286.2617136837998</v>
      </c>
      <c r="F310" s="240">
        <v>-2348.3050260193199</v>
      </c>
      <c r="G310" s="240">
        <v>-2258.7338240817799</v>
      </c>
      <c r="H310" s="240">
        <v>-2377.6051459399</v>
      </c>
      <c r="I310" s="240">
        <v>-2502.8700632094201</v>
      </c>
      <c r="J310" s="240">
        <v>-2634.8809810533699</v>
      </c>
      <c r="K310" s="240">
        <v>-2774.0102523566402</v>
      </c>
      <c r="L310" s="240">
        <v>-2920.65133867535</v>
      </c>
      <c r="M310" s="240">
        <v>-3075.2200406564698</v>
      </c>
    </row>
    <row r="311" spans="1:13" x14ac:dyDescent="0.25">
      <c r="A311" s="227" t="s">
        <v>801</v>
      </c>
      <c r="B311" s="249"/>
      <c r="C311" s="249"/>
      <c r="D311" s="240"/>
      <c r="E311" s="240"/>
      <c r="F311" s="240"/>
      <c r="G311" s="240"/>
      <c r="H311" s="240"/>
      <c r="I311" s="240"/>
      <c r="J311" s="240"/>
      <c r="K311" s="240"/>
      <c r="L311" s="240"/>
      <c r="M311" s="240"/>
    </row>
    <row r="312" spans="1:13" x14ac:dyDescent="0.25">
      <c r="A312" s="227" t="s">
        <v>1188</v>
      </c>
      <c r="B312" s="249"/>
      <c r="C312" s="249"/>
      <c r="D312" s="240"/>
      <c r="E312" s="240"/>
      <c r="F312" s="240"/>
      <c r="G312" s="240"/>
      <c r="H312" s="240"/>
      <c r="I312" s="240"/>
      <c r="J312" s="240"/>
      <c r="K312" s="240"/>
      <c r="L312" s="240"/>
      <c r="M312" s="240"/>
    </row>
    <row r="313" spans="1:13" x14ac:dyDescent="0.25">
      <c r="A313" s="227" t="s">
        <v>1189</v>
      </c>
      <c r="B313" s="249" t="s">
        <v>743</v>
      </c>
      <c r="C313" s="249" t="s">
        <v>1190</v>
      </c>
      <c r="D313" s="240">
        <v>-9392.13721375967</v>
      </c>
      <c r="E313" s="240">
        <v>-9548.9048653285208</v>
      </c>
      <c r="F313" s="240">
        <v>-9891.5939961873901</v>
      </c>
      <c r="G313" s="240">
        <v>-10651.066308566</v>
      </c>
      <c r="H313" s="240">
        <v>-11191.918596482299</v>
      </c>
      <c r="I313" s="240">
        <v>-11760.2412727014</v>
      </c>
      <c r="J313" s="240">
        <v>-12357.4299064184</v>
      </c>
      <c r="K313" s="240">
        <v>-12984.9509818527</v>
      </c>
      <c r="L313" s="240">
        <v>-13644.345502584199</v>
      </c>
      <c r="M313" s="240">
        <v>-14337.2327791262</v>
      </c>
    </row>
    <row r="314" spans="1:13" x14ac:dyDescent="0.25">
      <c r="A314" s="227" t="s">
        <v>1191</v>
      </c>
      <c r="B314" s="249" t="s">
        <v>1192</v>
      </c>
      <c r="C314" s="249" t="s">
        <v>1193</v>
      </c>
      <c r="D314" s="240">
        <v>-2187.0410307707002</v>
      </c>
      <c r="E314" s="240">
        <v>-1116.2129449133299</v>
      </c>
      <c r="F314" s="240">
        <v>998.50241937723297</v>
      </c>
      <c r="G314" s="240"/>
      <c r="H314" s="240"/>
      <c r="I314" s="240"/>
      <c r="J314" s="240"/>
      <c r="K314" s="240"/>
      <c r="L314" s="240"/>
      <c r="M314" s="240"/>
    </row>
    <row r="315" spans="1:13" x14ac:dyDescent="0.25">
      <c r="A315" s="227" t="s">
        <v>1194</v>
      </c>
      <c r="B315" s="249" t="s">
        <v>1195</v>
      </c>
      <c r="C315" s="249" t="s">
        <v>1196</v>
      </c>
      <c r="D315" s="240"/>
      <c r="E315" s="240"/>
      <c r="F315" s="240"/>
      <c r="G315" s="240"/>
      <c r="H315" s="240"/>
      <c r="I315" s="240"/>
      <c r="J315" s="240"/>
      <c r="K315" s="240"/>
      <c r="L315" s="240"/>
      <c r="M315" s="240"/>
    </row>
    <row r="316" spans="1:13" x14ac:dyDescent="0.25">
      <c r="A316" s="227" t="s">
        <v>1197</v>
      </c>
      <c r="B316" s="249" t="s">
        <v>1198</v>
      </c>
      <c r="C316" s="249" t="s">
        <v>1199</v>
      </c>
      <c r="D316" s="240">
        <v>-2512</v>
      </c>
      <c r="E316" s="240">
        <v>-2166.6666666666702</v>
      </c>
      <c r="F316" s="240">
        <v>-1000</v>
      </c>
      <c r="G316" s="240"/>
      <c r="H316" s="240"/>
      <c r="I316" s="240"/>
      <c r="J316" s="240"/>
      <c r="K316" s="240"/>
      <c r="L316" s="240"/>
      <c r="M316" s="240"/>
    </row>
    <row r="317" spans="1:13" x14ac:dyDescent="0.25">
      <c r="A317" s="227" t="s">
        <v>1200</v>
      </c>
      <c r="B317" s="249" t="s">
        <v>1201</v>
      </c>
      <c r="C317" s="249" t="s">
        <v>1202</v>
      </c>
      <c r="D317" s="240">
        <v>-424.8372425</v>
      </c>
      <c r="E317" s="240">
        <v>-882.84057907784404</v>
      </c>
      <c r="F317" s="240">
        <v>-2532.7032626458599</v>
      </c>
      <c r="G317" s="240">
        <v>-4547.2283141349899</v>
      </c>
      <c r="H317" s="240">
        <v>-4787.0662832492699</v>
      </c>
      <c r="I317" s="240">
        <v>-5039.55421129569</v>
      </c>
      <c r="J317" s="240">
        <v>-5305.3593048119701</v>
      </c>
      <c r="K317" s="240">
        <v>-5585.1839613246702</v>
      </c>
      <c r="L317" s="240">
        <v>-5879.7676254547196</v>
      </c>
      <c r="M317" s="240">
        <v>-6189.8887429208098</v>
      </c>
    </row>
    <row r="318" spans="1:13" x14ac:dyDescent="0.25">
      <c r="A318" s="227" t="s">
        <v>1203</v>
      </c>
      <c r="B318" s="249" t="s">
        <v>749</v>
      </c>
      <c r="C318" s="249" t="s">
        <v>1204</v>
      </c>
      <c r="D318" s="240">
        <v>981.58150884034001</v>
      </c>
      <c r="E318" s="240">
        <v>1535.8226208855001</v>
      </c>
      <c r="F318" s="240">
        <v>1450.5633397711499</v>
      </c>
      <c r="G318" s="240"/>
      <c r="H318" s="240"/>
      <c r="I318" s="240"/>
      <c r="J318" s="240"/>
      <c r="K318" s="240"/>
      <c r="L318" s="240"/>
      <c r="M318" s="240"/>
    </row>
    <row r="319" spans="1:13" x14ac:dyDescent="0.25">
      <c r="A319" s="227" t="s">
        <v>1205</v>
      </c>
      <c r="B319" s="249" t="s">
        <v>751</v>
      </c>
      <c r="C319" s="249" t="s">
        <v>1206</v>
      </c>
      <c r="D319" s="240">
        <v>-1519.07442431611</v>
      </c>
      <c r="E319" s="240">
        <v>-3030.5662259034002</v>
      </c>
      <c r="F319" s="240">
        <v>-4881.9895237699502</v>
      </c>
      <c r="G319" s="240"/>
      <c r="H319" s="240"/>
      <c r="I319" s="240"/>
      <c r="J319" s="240"/>
      <c r="K319" s="240"/>
      <c r="L319" s="240"/>
      <c r="M319" s="240"/>
    </row>
    <row r="320" spans="1:13" x14ac:dyDescent="0.25">
      <c r="A320" s="227" t="s">
        <v>1207</v>
      </c>
      <c r="B320" s="249" t="s">
        <v>1208</v>
      </c>
      <c r="C320" s="249" t="s">
        <v>1209</v>
      </c>
      <c r="D320" s="240"/>
      <c r="E320" s="240"/>
      <c r="F320" s="240"/>
      <c r="G320" s="240"/>
      <c r="H320" s="240"/>
      <c r="I320" s="240"/>
      <c r="J320" s="240"/>
      <c r="K320" s="240"/>
      <c r="L320" s="240"/>
      <c r="M320" s="240"/>
    </row>
    <row r="321" spans="1:13" x14ac:dyDescent="0.25">
      <c r="A321" s="227" t="s">
        <v>1210</v>
      </c>
      <c r="B321" s="249" t="s">
        <v>1211</v>
      </c>
      <c r="C321" s="249" t="s">
        <v>1212</v>
      </c>
      <c r="D321" s="240">
        <v>-3</v>
      </c>
      <c r="E321" s="240"/>
      <c r="F321" s="240"/>
      <c r="G321" s="240"/>
      <c r="H321" s="240"/>
      <c r="I321" s="240"/>
      <c r="J321" s="240"/>
      <c r="K321" s="240"/>
      <c r="L321" s="240"/>
      <c r="M321" s="240"/>
    </row>
    <row r="322" spans="1:13" x14ac:dyDescent="0.25">
      <c r="A322" s="227" t="s">
        <v>1213</v>
      </c>
      <c r="B322" s="249" t="s">
        <v>1214</v>
      </c>
      <c r="C322" s="249" t="s">
        <v>1215</v>
      </c>
      <c r="D322" s="240">
        <v>-12502.5764034567</v>
      </c>
      <c r="E322" s="240">
        <v>-12180.545929009901</v>
      </c>
      <c r="F322" s="240">
        <v>-12652.0520866809</v>
      </c>
      <c r="G322" s="240">
        <v>-10477.330206590201</v>
      </c>
      <c r="H322" s="240">
        <v>-10999.669472438</v>
      </c>
      <c r="I322" s="240">
        <v>-11548.037985503301</v>
      </c>
      <c r="J322" s="240">
        <v>-12123.7317246404</v>
      </c>
      <c r="K322" s="240">
        <v>-12728.111114428701</v>
      </c>
      <c r="L322" s="240">
        <v>-13362.6042242658</v>
      </c>
      <c r="M322" s="240">
        <v>-14028.7101258651</v>
      </c>
    </row>
    <row r="323" spans="1:13" x14ac:dyDescent="0.25">
      <c r="A323" s="227" t="s">
        <v>801</v>
      </c>
      <c r="B323" s="249"/>
      <c r="C323" s="249"/>
      <c r="D323" s="240"/>
      <c r="E323" s="240"/>
      <c r="F323" s="240"/>
      <c r="G323" s="240"/>
      <c r="H323" s="240"/>
      <c r="I323" s="240"/>
      <c r="J323" s="240"/>
      <c r="K323" s="240"/>
      <c r="L323" s="240"/>
      <c r="M323" s="240"/>
    </row>
    <row r="324" spans="1:13" x14ac:dyDescent="0.25">
      <c r="A324" s="227" t="s">
        <v>1110</v>
      </c>
      <c r="B324" s="249"/>
      <c r="C324" s="249"/>
      <c r="D324" s="240"/>
      <c r="E324" s="240"/>
      <c r="F324" s="240"/>
      <c r="G324" s="240"/>
      <c r="H324" s="240"/>
      <c r="I324" s="240"/>
      <c r="J324" s="240"/>
      <c r="K324" s="240"/>
      <c r="L324" s="240"/>
      <c r="M324" s="240"/>
    </row>
    <row r="325" spans="1:13" x14ac:dyDescent="0.25">
      <c r="A325" s="227" t="s">
        <v>1216</v>
      </c>
      <c r="B325" s="249" t="s">
        <v>757</v>
      </c>
      <c r="C325" s="249" t="s">
        <v>1217</v>
      </c>
      <c r="D325" s="240">
        <v>73.714285714285694</v>
      </c>
      <c r="E325" s="240">
        <v>0.5</v>
      </c>
      <c r="F325" s="240">
        <v>1</v>
      </c>
      <c r="G325" s="240"/>
      <c r="H325" s="240"/>
      <c r="I325" s="240"/>
      <c r="J325" s="240"/>
      <c r="K325" s="240"/>
      <c r="L325" s="240"/>
      <c r="M325" s="240"/>
    </row>
    <row r="326" spans="1:13" x14ac:dyDescent="0.25">
      <c r="A326" s="227" t="s">
        <v>1218</v>
      </c>
      <c r="B326" s="249" t="s">
        <v>759</v>
      </c>
      <c r="C326" s="249" t="s">
        <v>1219</v>
      </c>
      <c r="D326" s="240">
        <v>1696.7849920081301</v>
      </c>
      <c r="E326" s="240">
        <v>320.30620440856097</v>
      </c>
      <c r="F326" s="240">
        <v>895.08889348896105</v>
      </c>
      <c r="G326" s="240">
        <v>5060.4276862652596</v>
      </c>
      <c r="H326" s="240">
        <v>5625.5398967800202</v>
      </c>
      <c r="I326" s="240">
        <v>6236.7260762679998</v>
      </c>
      <c r="J326" s="240">
        <v>6897.3994117255897</v>
      </c>
      <c r="K326" s="240">
        <v>7611.2150044242198</v>
      </c>
      <c r="L326" s="240">
        <v>8382.0866339861896</v>
      </c>
      <c r="M326" s="240">
        <v>9214.2046719614009</v>
      </c>
    </row>
    <row r="327" spans="1:13" x14ac:dyDescent="0.25">
      <c r="A327" s="227" t="s">
        <v>1220</v>
      </c>
      <c r="B327" s="249" t="s">
        <v>1221</v>
      </c>
      <c r="C327" s="249" t="s">
        <v>1222</v>
      </c>
      <c r="D327" s="240">
        <v>10429.5</v>
      </c>
      <c r="E327" s="240">
        <v>12550.7039461486</v>
      </c>
      <c r="F327" s="240">
        <v>15839.316548290601</v>
      </c>
      <c r="G327" s="240"/>
      <c r="H327" s="240"/>
      <c r="I327" s="240"/>
      <c r="J327" s="240"/>
      <c r="K327" s="240"/>
      <c r="L327" s="240"/>
      <c r="M327" s="240"/>
    </row>
    <row r="328" spans="1:13" x14ac:dyDescent="0.25">
      <c r="A328" s="227" t="s">
        <v>1024</v>
      </c>
      <c r="B328" s="249" t="s">
        <v>517</v>
      </c>
      <c r="C328" s="249" t="s">
        <v>1025</v>
      </c>
      <c r="D328" s="240">
        <v>13381.777694120899</v>
      </c>
      <c r="E328" s="240">
        <v>14329.357075796501</v>
      </c>
      <c r="F328" s="240">
        <v>16172.981486427399</v>
      </c>
      <c r="G328" s="240">
        <v>23070.860472037901</v>
      </c>
      <c r="H328" s="240">
        <v>27090.0127692856</v>
      </c>
      <c r="I328" s="240">
        <v>31572.078952943899</v>
      </c>
      <c r="J328" s="240">
        <v>36551.516818780801</v>
      </c>
      <c r="K328" s="240">
        <v>42081.902533967797</v>
      </c>
      <c r="L328" s="240">
        <v>48202.582649894299</v>
      </c>
      <c r="M328" s="240">
        <v>54964.026558200603</v>
      </c>
    </row>
    <row r="329" spans="1:13" x14ac:dyDescent="0.25">
      <c r="A329" s="227" t="s">
        <v>1124</v>
      </c>
      <c r="B329" s="249"/>
      <c r="C329" s="249"/>
      <c r="D329" s="240"/>
      <c r="E329" s="240"/>
      <c r="F329" s="240"/>
      <c r="G329" s="240"/>
      <c r="H329" s="240"/>
      <c r="I329" s="240"/>
      <c r="J329" s="240"/>
      <c r="K329" s="240"/>
      <c r="L329" s="240"/>
      <c r="M329" s="240"/>
    </row>
    <row r="330" spans="1:13" x14ac:dyDescent="0.25">
      <c r="A330" s="227" t="s">
        <v>1223</v>
      </c>
      <c r="B330" s="249" t="s">
        <v>1224</v>
      </c>
      <c r="C330" s="249" t="s">
        <v>1225</v>
      </c>
      <c r="D330" s="240">
        <v>2.56</v>
      </c>
      <c r="E330" s="240">
        <v>2.88</v>
      </c>
      <c r="F330" s="240">
        <v>3.25</v>
      </c>
      <c r="G330" s="240"/>
      <c r="H330" s="240"/>
      <c r="I330" s="240"/>
      <c r="J330" s="240"/>
      <c r="K330" s="240"/>
      <c r="L330" s="240"/>
      <c r="M330" s="240"/>
    </row>
    <row r="331" spans="1:13" x14ac:dyDescent="0.25">
      <c r="A331" s="227" t="s">
        <v>1226</v>
      </c>
      <c r="B331" s="249" t="s">
        <v>1227</v>
      </c>
      <c r="C331" s="249" t="s">
        <v>1228</v>
      </c>
      <c r="D331" s="240">
        <v>12111.4398280611</v>
      </c>
      <c r="E331" s="240">
        <v>13266.9925909551</v>
      </c>
      <c r="F331" s="240">
        <v>14286.4824451805</v>
      </c>
      <c r="G331" s="240">
        <v>15621.4253328797</v>
      </c>
      <c r="H331" s="240">
        <v>16633.2077276893</v>
      </c>
      <c r="I331" s="240">
        <v>17969.552715169601</v>
      </c>
      <c r="J331" s="240">
        <v>19062.016720584201</v>
      </c>
      <c r="K331" s="240">
        <v>20233.617745670599</v>
      </c>
      <c r="L331" s="240">
        <v>22646.201046140101</v>
      </c>
      <c r="M331" s="240">
        <v>24130.965099732901</v>
      </c>
    </row>
    <row r="332" spans="1:13" x14ac:dyDescent="0.25">
      <c r="A332" s="227" t="s">
        <v>1229</v>
      </c>
      <c r="B332" s="249" t="s">
        <v>1230</v>
      </c>
      <c r="C332" s="249" t="s">
        <v>1231</v>
      </c>
      <c r="D332" s="240">
        <v>2.8502537454933901</v>
      </c>
      <c r="E332" s="240">
        <v>3.0489370398600402</v>
      </c>
      <c r="F332" s="240">
        <v>3.25563501722741</v>
      </c>
      <c r="G332" s="240">
        <v>3.7291164050791399</v>
      </c>
      <c r="H332" s="240">
        <v>3.99543126851689</v>
      </c>
      <c r="I332" s="240">
        <v>4.3500300029647496</v>
      </c>
      <c r="J332" s="240">
        <v>4.6345943935091203</v>
      </c>
      <c r="K332" s="240">
        <v>4.9402432864960497</v>
      </c>
      <c r="L332" s="240">
        <v>5.2641099595862597</v>
      </c>
      <c r="M332" s="240">
        <v>5.6092433983572603</v>
      </c>
    </row>
    <row r="333" spans="1:13" x14ac:dyDescent="0.25">
      <c r="A333" s="227" t="s">
        <v>1232</v>
      </c>
      <c r="B333" s="249" t="s">
        <v>1233</v>
      </c>
      <c r="C333" s="249" t="s">
        <v>1234</v>
      </c>
      <c r="D333" s="240"/>
      <c r="E333" s="240"/>
      <c r="F333" s="240"/>
      <c r="G333" s="240"/>
      <c r="H333" s="240"/>
      <c r="I333" s="240"/>
      <c r="J333" s="240"/>
      <c r="K333" s="240"/>
      <c r="L333" s="240"/>
      <c r="M333" s="240"/>
    </row>
    <row r="334" spans="1:13" x14ac:dyDescent="0.25">
      <c r="A334" s="227" t="s">
        <v>801</v>
      </c>
      <c r="B334" s="249"/>
      <c r="C334" s="249"/>
      <c r="D334" s="240"/>
      <c r="E334" s="240"/>
      <c r="F334" s="240"/>
      <c r="G334" s="240"/>
      <c r="H334" s="240"/>
      <c r="I334" s="240"/>
      <c r="J334" s="240"/>
      <c r="K334" s="240"/>
      <c r="L334" s="240"/>
      <c r="M334" s="240"/>
    </row>
    <row r="335" spans="1:13" x14ac:dyDescent="0.25">
      <c r="A335" s="227" t="s">
        <v>1235</v>
      </c>
      <c r="B335" s="249" t="s">
        <v>1236</v>
      </c>
      <c r="C335" s="249" t="s">
        <v>1237</v>
      </c>
      <c r="D335" s="240">
        <v>14108.8909393999</v>
      </c>
      <c r="E335" s="240">
        <v>15109.9591263201</v>
      </c>
      <c r="F335" s="240">
        <v>15985.3869226565</v>
      </c>
      <c r="G335" s="240"/>
      <c r="H335" s="240"/>
      <c r="I335" s="240"/>
      <c r="J335" s="240"/>
      <c r="K335" s="240"/>
      <c r="L335" s="240"/>
      <c r="M335" s="240"/>
    </row>
    <row r="336" spans="1:13" x14ac:dyDescent="0.25">
      <c r="A336" s="227" t="s">
        <v>801</v>
      </c>
      <c r="B336" s="249"/>
      <c r="C336" s="249"/>
      <c r="D336" s="240"/>
      <c r="E336" s="240"/>
      <c r="F336" s="240"/>
      <c r="G336" s="240"/>
      <c r="H336" s="240"/>
      <c r="I336" s="240"/>
      <c r="J336" s="240"/>
      <c r="K336" s="240"/>
      <c r="L336" s="240"/>
      <c r="M336" s="240"/>
    </row>
    <row r="337" spans="1:13" x14ac:dyDescent="0.25">
      <c r="A337" s="239" t="s">
        <v>1238</v>
      </c>
      <c r="B337" s="239"/>
      <c r="C337" s="239"/>
      <c r="D337" s="239"/>
      <c r="E337" s="239"/>
      <c r="F337" s="239"/>
      <c r="G337" s="239"/>
      <c r="H337" s="239"/>
      <c r="I337" s="239"/>
      <c r="J337" s="239"/>
      <c r="K337" s="239"/>
      <c r="L337" s="239"/>
      <c r="M337" s="239"/>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7"/>
  <sheetViews>
    <sheetView zoomScaleNormal="100" workbookViewId="0">
      <selection activeCell="B17" sqref="B17"/>
    </sheetView>
  </sheetViews>
  <sheetFormatPr defaultColWidth="11.42578125" defaultRowHeight="15" x14ac:dyDescent="0.25"/>
  <cols>
    <col min="1" max="1" width="15.5703125" customWidth="1"/>
    <col min="2" max="2" width="34.42578125" customWidth="1"/>
  </cols>
  <sheetData>
    <row r="1" spans="1:11" x14ac:dyDescent="0.25">
      <c r="A1" s="250" t="s">
        <v>1239</v>
      </c>
      <c r="B1" s="250" t="s">
        <v>1240</v>
      </c>
      <c r="C1" s="250" t="s">
        <v>1241</v>
      </c>
      <c r="D1" s="250" t="s">
        <v>1242</v>
      </c>
      <c r="E1" s="250" t="s">
        <v>1243</v>
      </c>
      <c r="F1" s="250" t="s">
        <v>1244</v>
      </c>
      <c r="G1" s="250" t="s">
        <v>1245</v>
      </c>
      <c r="H1" s="250" t="s">
        <v>1246</v>
      </c>
      <c r="I1" s="250" t="s">
        <v>1247</v>
      </c>
      <c r="J1" s="250" t="s">
        <v>1248</v>
      </c>
      <c r="K1" s="250" t="s">
        <v>1249</v>
      </c>
    </row>
    <row r="2" spans="1:11" x14ac:dyDescent="0.25">
      <c r="A2" s="251" t="s">
        <v>1250</v>
      </c>
      <c r="B2" s="251"/>
      <c r="C2" s="252"/>
      <c r="D2" s="252"/>
      <c r="E2" s="252"/>
      <c r="F2" s="252"/>
      <c r="G2" s="252"/>
      <c r="H2" s="252"/>
      <c r="I2" s="252"/>
      <c r="J2" s="252"/>
      <c r="K2" s="252"/>
    </row>
    <row r="3" spans="1:11" x14ac:dyDescent="0.25">
      <c r="A3" s="251" t="s">
        <v>1251</v>
      </c>
      <c r="B3" s="251" t="s">
        <v>1251</v>
      </c>
      <c r="C3" s="252">
        <v>9843.5683183100009</v>
      </c>
      <c r="D3" s="252">
        <v>56.204999999999998</v>
      </c>
      <c r="E3" s="252">
        <v>-1.6000485</v>
      </c>
      <c r="F3" s="252">
        <v>-5.5352465000000004</v>
      </c>
      <c r="G3" s="252">
        <v>2.3694162213095802</v>
      </c>
      <c r="H3" s="252">
        <v>5.0532270338821998</v>
      </c>
      <c r="I3" s="252">
        <v>16.9348723674706</v>
      </c>
      <c r="J3" s="252">
        <v>23.5099892158903</v>
      </c>
      <c r="K3" s="252">
        <v>2.9685006188038101</v>
      </c>
    </row>
    <row r="4" spans="1:11" x14ac:dyDescent="0.25">
      <c r="A4" s="251" t="s">
        <v>1252</v>
      </c>
      <c r="B4" s="251" t="s">
        <v>1253</v>
      </c>
      <c r="C4" s="252">
        <v>330516.69935076003</v>
      </c>
      <c r="D4" s="252">
        <v>76.819999999999993</v>
      </c>
      <c r="E4" s="252">
        <v>-2.4631789999999998</v>
      </c>
      <c r="F4" s="252">
        <v>-2.1151930000000001</v>
      </c>
      <c r="G4" s="252">
        <v>2.4841674307525001</v>
      </c>
      <c r="H4" s="252">
        <v>4.8210751382786201</v>
      </c>
      <c r="I4" s="252">
        <v>23.5669111285778</v>
      </c>
      <c r="J4" s="252">
        <v>46.989220355978901</v>
      </c>
      <c r="K4" s="252">
        <v>2.68124423113307</v>
      </c>
    </row>
    <row r="5" spans="1:11" x14ac:dyDescent="0.25">
      <c r="A5" s="251" t="s">
        <v>1254</v>
      </c>
      <c r="B5" s="251" t="s">
        <v>1255</v>
      </c>
      <c r="C5" s="252">
        <v>11333.90233938</v>
      </c>
      <c r="D5" s="252">
        <v>170.27</v>
      </c>
      <c r="E5" s="252">
        <v>-3.9866920000000001</v>
      </c>
      <c r="F5" s="252">
        <v>-20.951720000000002</v>
      </c>
      <c r="G5" s="252">
        <v>4.7587320985385499</v>
      </c>
      <c r="H5" s="252">
        <v>5.5924335938925598</v>
      </c>
      <c r="I5" s="252">
        <v>20.781908995631099</v>
      </c>
      <c r="J5" s="252" t="s">
        <v>1256</v>
      </c>
      <c r="K5" s="252">
        <v>0.58730251952780899</v>
      </c>
    </row>
    <row r="6" spans="1:11" x14ac:dyDescent="0.25">
      <c r="A6" s="251" t="s">
        <v>1257</v>
      </c>
      <c r="B6" s="251" t="s">
        <v>1258</v>
      </c>
      <c r="C6" s="252">
        <v>4225.1933291400001</v>
      </c>
      <c r="D6" s="252">
        <v>73.98</v>
      </c>
      <c r="E6" s="252">
        <v>-1.5961689999999999</v>
      </c>
      <c r="F6" s="252">
        <v>9.1311389999999992</v>
      </c>
      <c r="G6" s="252">
        <v>18.1714414171736</v>
      </c>
      <c r="H6" s="252">
        <v>11.1437937232366</v>
      </c>
      <c r="I6" s="252">
        <v>52.715927119010999</v>
      </c>
      <c r="J6" s="252">
        <v>26.965987387922201</v>
      </c>
      <c r="K6" s="252" t="s">
        <v>1256</v>
      </c>
    </row>
    <row r="7" spans="1:11" x14ac:dyDescent="0.25">
      <c r="A7" s="251" t="s">
        <v>1259</v>
      </c>
      <c r="B7" s="251" t="s">
        <v>1260</v>
      </c>
      <c r="C7" s="252">
        <v>3251.84290246</v>
      </c>
      <c r="D7" s="252">
        <v>34.729999999999997</v>
      </c>
      <c r="E7" s="252">
        <v>-3.3398270000000001</v>
      </c>
      <c r="F7" s="252">
        <v>-0.54409560000000001</v>
      </c>
      <c r="G7" s="252">
        <v>0.81061077759895395</v>
      </c>
      <c r="H7" s="252">
        <v>5.2853789294857796</v>
      </c>
      <c r="I7" s="252">
        <v>17.278262891403301</v>
      </c>
      <c r="J7" s="252">
        <v>38.0040040444078</v>
      </c>
      <c r="K7" s="252" t="s">
        <v>1256</v>
      </c>
    </row>
    <row r="8" spans="1:11" x14ac:dyDescent="0.25">
      <c r="A8" s="251" t="s">
        <v>1261</v>
      </c>
      <c r="B8" s="251" t="s">
        <v>1262</v>
      </c>
      <c r="C8" s="252">
        <v>86592.838059400005</v>
      </c>
      <c r="D8" s="252">
        <v>88.54</v>
      </c>
      <c r="E8" s="252">
        <v>-0.56154539999999997</v>
      </c>
      <c r="F8" s="252">
        <v>16.807379999999998</v>
      </c>
      <c r="G8" s="252">
        <v>10.6988540459799</v>
      </c>
      <c r="H8" s="252">
        <v>23.957695815901399</v>
      </c>
      <c r="I8" s="252">
        <v>41.669824258919199</v>
      </c>
      <c r="J8" s="252">
        <v>27.363236771990699</v>
      </c>
      <c r="K8" s="252" t="s">
        <v>1256</v>
      </c>
    </row>
    <row r="9" spans="1:11" x14ac:dyDescent="0.25">
      <c r="A9" s="251" t="s">
        <v>1263</v>
      </c>
      <c r="B9" s="251" t="s">
        <v>1264</v>
      </c>
      <c r="C9" s="252">
        <v>40898.417698259997</v>
      </c>
      <c r="D9" s="252">
        <v>30.06</v>
      </c>
      <c r="E9" s="252">
        <v>-1.603928</v>
      </c>
      <c r="F9" s="252">
        <v>3.9419080000000002</v>
      </c>
      <c r="G9" s="252">
        <v>8.1558204677219699</v>
      </c>
      <c r="H9" s="252">
        <v>5.8405780914810004</v>
      </c>
      <c r="I9" s="252">
        <v>16.317313378700302</v>
      </c>
      <c r="J9" s="252">
        <v>10.105791319066601</v>
      </c>
      <c r="K9" s="252">
        <v>3.0605456310356001</v>
      </c>
    </row>
    <row r="10" spans="1:11" x14ac:dyDescent="0.25">
      <c r="A10" s="251" t="s">
        <v>1265</v>
      </c>
      <c r="B10" s="251" t="s">
        <v>1266</v>
      </c>
      <c r="C10" s="252">
        <v>8353.2342972400002</v>
      </c>
      <c r="D10" s="252">
        <v>23.02</v>
      </c>
      <c r="E10" s="252">
        <v>-4.8367089999999999</v>
      </c>
      <c r="F10" s="252">
        <v>13.566839999999999</v>
      </c>
      <c r="G10" s="252">
        <v>29.335274138767598</v>
      </c>
      <c r="H10" s="252">
        <v>46.807996054453596</v>
      </c>
      <c r="I10" s="252">
        <v>24.949710897413201</v>
      </c>
      <c r="J10" s="252">
        <v>10.897516787180001</v>
      </c>
      <c r="K10" s="252">
        <v>1.91138139711475</v>
      </c>
    </row>
    <row r="11" spans="1:11" x14ac:dyDescent="0.25">
      <c r="A11" s="251" t="s">
        <v>1267</v>
      </c>
      <c r="B11" s="251" t="s">
        <v>1268</v>
      </c>
      <c r="C11" s="252">
        <v>7094.0199899999998</v>
      </c>
      <c r="D11" s="252">
        <v>27.75</v>
      </c>
      <c r="E11" s="252">
        <v>-7.5308229999999998</v>
      </c>
      <c r="F11" s="252">
        <v>-17.2136</v>
      </c>
      <c r="G11" s="252">
        <v>85.542441521654098</v>
      </c>
      <c r="H11" s="252">
        <v>111.214060712484</v>
      </c>
      <c r="I11" s="252">
        <v>16.5914818435378</v>
      </c>
      <c r="J11" s="252">
        <v>43.742308841250903</v>
      </c>
      <c r="K11" s="252" t="s">
        <v>1256</v>
      </c>
    </row>
    <row r="12" spans="1:11" x14ac:dyDescent="0.25">
      <c r="A12" s="251" t="s">
        <v>1269</v>
      </c>
      <c r="B12" s="251" t="s">
        <v>1270</v>
      </c>
      <c r="C12" s="252">
        <v>194286.11597725001</v>
      </c>
      <c r="D12" s="252">
        <v>142.15</v>
      </c>
      <c r="E12" s="252">
        <v>-0.2736074</v>
      </c>
      <c r="F12" s="252">
        <v>-8.3139800000000008</v>
      </c>
      <c r="G12" s="252">
        <v>2.2546650118666598</v>
      </c>
      <c r="H12" s="252">
        <v>-2.22674878710081</v>
      </c>
      <c r="I12" s="252">
        <v>17.422693171772899</v>
      </c>
      <c r="J12" s="252">
        <v>56.262747661671497</v>
      </c>
      <c r="K12" s="252">
        <v>4.0432641173264399</v>
      </c>
    </row>
    <row r="13" spans="1:11" x14ac:dyDescent="0.25">
      <c r="A13" s="251" t="s">
        <v>1271</v>
      </c>
      <c r="B13" s="251" t="s">
        <v>1272</v>
      </c>
      <c r="C13" s="252">
        <v>347.71002599000002</v>
      </c>
      <c r="D13" s="252">
        <v>16.27</v>
      </c>
      <c r="E13" s="252">
        <v>-0.1227747</v>
      </c>
      <c r="F13" s="252">
        <v>-18.52779</v>
      </c>
      <c r="G13" s="252">
        <v>-23.7697637235744</v>
      </c>
      <c r="H13" s="252">
        <v>-48.620117321641899</v>
      </c>
      <c r="I13" s="252">
        <v>3.4836328053635701</v>
      </c>
      <c r="J13" s="252">
        <v>14.174298785597999</v>
      </c>
      <c r="K13" s="252">
        <v>2.95021505391004</v>
      </c>
    </row>
    <row r="14" spans="1:11" x14ac:dyDescent="0.25">
      <c r="A14" s="251" t="s">
        <v>1273</v>
      </c>
      <c r="B14" s="251" t="s">
        <v>1274</v>
      </c>
      <c r="C14" s="252">
        <v>23725.676181579998</v>
      </c>
      <c r="D14" s="252">
        <v>137.78</v>
      </c>
      <c r="E14" s="252">
        <v>1.757755</v>
      </c>
      <c r="F14" s="252">
        <v>-8.0240340000000003</v>
      </c>
      <c r="G14" s="252">
        <v>-10.478317513493399</v>
      </c>
      <c r="H14" s="252">
        <v>-34.789629119552401</v>
      </c>
      <c r="I14" s="252">
        <v>13.779376437635801</v>
      </c>
      <c r="J14" s="252">
        <v>23.5099892158903</v>
      </c>
      <c r="K14" s="252">
        <v>2.9685006188038101</v>
      </c>
    </row>
    <row r="15" spans="1:11" x14ac:dyDescent="0.25">
      <c r="A15" s="251" t="s">
        <v>1275</v>
      </c>
      <c r="B15" s="251" t="s">
        <v>1276</v>
      </c>
      <c r="C15" s="252">
        <v>11820.085035100001</v>
      </c>
      <c r="D15" s="252">
        <v>25.46</v>
      </c>
      <c r="E15" s="252">
        <v>2.8271410000000001</v>
      </c>
      <c r="F15" s="252">
        <v>-3.046459</v>
      </c>
      <c r="G15" s="252">
        <v>-1.18238993710692</v>
      </c>
      <c r="H15" s="252">
        <v>-11.636811178512399</v>
      </c>
      <c r="I15" s="252">
        <v>14.2721719457482</v>
      </c>
      <c r="J15" s="252">
        <v>21.336875395319399</v>
      </c>
      <c r="K15" s="252">
        <v>3.5938728258353199</v>
      </c>
    </row>
    <row r="16" spans="1:11" x14ac:dyDescent="0.25">
      <c r="A16" s="251" t="s">
        <v>1277</v>
      </c>
      <c r="B16" s="251" t="s">
        <v>1278</v>
      </c>
      <c r="C16" s="252">
        <v>7258.1807917149999</v>
      </c>
      <c r="D16" s="252">
        <v>38.43</v>
      </c>
      <c r="E16" s="252">
        <v>-0.4919731</v>
      </c>
      <c r="F16" s="252">
        <v>-8.9120620000000006</v>
      </c>
      <c r="G16" s="252">
        <v>-4.1816461684011399</v>
      </c>
      <c r="H16" s="252">
        <v>-13.1170817106466</v>
      </c>
      <c r="I16" s="252">
        <v>3.7445534729808299</v>
      </c>
      <c r="J16" s="252">
        <v>17.533939756935801</v>
      </c>
      <c r="K16" s="252">
        <v>4.9440540623422899</v>
      </c>
    </row>
    <row r="17" spans="1:11" x14ac:dyDescent="0.25">
      <c r="A17" s="251" t="s">
        <v>1279</v>
      </c>
      <c r="B17" s="251" t="s">
        <v>1280</v>
      </c>
      <c r="C17" s="252">
        <v>1677.39723736</v>
      </c>
      <c r="D17" s="252">
        <v>161.08000000000001</v>
      </c>
      <c r="E17" s="252">
        <v>-1.636541</v>
      </c>
      <c r="F17" s="252">
        <v>-21.90061</v>
      </c>
      <c r="G17" s="252">
        <v>-2.3812102382303202</v>
      </c>
      <c r="H17" s="252">
        <v>2.38031602187541</v>
      </c>
      <c r="I17" s="252">
        <v>15.7951209502503</v>
      </c>
      <c r="J17" s="252">
        <v>14.150704860205501</v>
      </c>
      <c r="K17" s="252" t="s">
        <v>1256</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Drivers</vt:lpstr>
      <vt:lpstr>Debt</vt:lpstr>
      <vt:lpstr>IS</vt:lpstr>
      <vt:lpstr>CF</vt:lpstr>
      <vt:lpstr>BS</vt:lpstr>
      <vt:lpstr>WACC</vt:lpstr>
      <vt:lpstr>DCF + DDM</vt:lpstr>
      <vt:lpstr>Sensitivity</vt:lpstr>
      <vt:lpstr>FootBall Field and Ratios</vt:lpstr>
      <vt:lpstr>General</vt:lpstr>
      <vt:lpstr>Ratios</vt:lpstr>
      <vt:lpstr>CR</vt:lpstr>
      <vt:lpstr>Balance Sheet</vt:lpstr>
      <vt:lpstr>FC</vt:lpstr>
      <vt:lpstr>MODL</vt:lpstr>
      <vt:lpstr>RV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Arizcuren Elizondo</dc:creator>
  <dc:description/>
  <cp:lastModifiedBy>Carlos Arizcuren Elizondo</cp:lastModifiedBy>
  <cp:revision>0</cp:revision>
  <dcterms:created xsi:type="dcterms:W3CDTF">2015-06-05T18:19:34Z</dcterms:created>
  <dcterms:modified xsi:type="dcterms:W3CDTF">2026-10-25T20:31:30Z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0x01010058AA2C63C90B874796104540251D5241</vt:lpwstr>
  </property>
</Properties>
</file>